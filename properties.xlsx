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\OneDrive\Desktop\"/>
    </mc:Choice>
  </mc:AlternateContent>
  <xr:revisionPtr revIDLastSave="0" documentId="8_{68E697A6-F6B1-4285-AF44-622CC22F80BA}" xr6:coauthVersionLast="47" xr6:coauthVersionMax="47" xr10:uidLastSave="{00000000-0000-0000-0000-000000000000}"/>
  <bookViews>
    <workbookView xWindow="-120" yWindow="-120" windowWidth="29040" windowHeight="15720" xr2:uid="{A4BA1CB5-BBBD-4D57-83AF-09646A71F0A6}"/>
  </bookViews>
  <sheets>
    <sheet name="Sheet1" sheetId="2" r:id="rId1"/>
    <sheet name="Sheet2" sheetId="3" r:id="rId2"/>
  </sheets>
  <externalReferences>
    <externalReference r:id="rId3"/>
  </externalReferences>
  <definedNames>
    <definedName name="_xlnm._FilterDatabase" localSheetId="0">Sheet1!$A$2:$G$23</definedName>
    <definedName name="_xlnm.Print_Area" localSheetId="0">Sheet1!$A$1:$K$27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7" i="2" l="1"/>
  <c r="A27" i="2" l="1"/>
  <c r="D27" i="2"/>
  <c r="A21" i="3" l="1"/>
  <c r="D6" i="3" l="1"/>
  <c r="D5" i="3" l="1"/>
  <c r="D3" i="3" l="1"/>
  <c r="D4" i="3" l="1"/>
  <c r="D21" i="3" s="1"/>
</calcChain>
</file>

<file path=xl/sharedStrings.xml><?xml version="1.0" encoding="utf-8"?>
<sst xmlns="http://schemas.openxmlformats.org/spreadsheetml/2006/main" count="323" uniqueCount="204">
  <si>
    <t>Loc</t>
    <phoneticPr fontId="1" type="noConversion"/>
  </si>
  <si>
    <t>F/S</t>
    <phoneticPr fontId="1" type="noConversion"/>
  </si>
  <si>
    <t>L/W</t>
    <phoneticPr fontId="1" type="noConversion"/>
  </si>
  <si>
    <t>R</t>
    <phoneticPr fontId="1" type="noConversion"/>
  </si>
  <si>
    <t>PW</t>
    <phoneticPr fontId="1" type="noConversion"/>
  </si>
  <si>
    <t>Address</t>
    <phoneticPr fontId="1" type="noConversion"/>
  </si>
  <si>
    <t>Transport</t>
    <phoneticPr fontId="1" type="noConversion"/>
  </si>
  <si>
    <t>MTR Exit</t>
    <phoneticPr fontId="1" type="noConversion"/>
  </si>
  <si>
    <t>M = MTR / B = Bus / T = Tram  / W = Walk</t>
    <phoneticPr fontId="1" type="noConversion"/>
  </si>
  <si>
    <t>CARD</t>
    <phoneticPr fontId="1" type="noConversion"/>
  </si>
  <si>
    <t>F</t>
  </si>
  <si>
    <t>L</t>
  </si>
  <si>
    <t>A</t>
    <phoneticPr fontId="1" type="noConversion"/>
  </si>
  <si>
    <t>C2</t>
  </si>
  <si>
    <t>W</t>
  </si>
  <si>
    <t>W. Door C2368</t>
  </si>
  <si>
    <t>Flat C, 4/F, No.24-25 Canal Road West. Causeway Bay. Hong Kong.</t>
    <phoneticPr fontId="1" type="noConversion"/>
  </si>
  <si>
    <t>C5</t>
  </si>
  <si>
    <t>F1</t>
    <phoneticPr fontId="1" type="noConversion"/>
  </si>
  <si>
    <t>C7</t>
  </si>
  <si>
    <t>T杜老誌道</t>
    <phoneticPr fontId="1" type="noConversion"/>
  </si>
  <si>
    <t>C12</t>
  </si>
  <si>
    <t xml:space="preserve">Flat G, 9/F, Lai Yuen Apartments, No.61 Russell Street, Causeway Bay. </t>
    <phoneticPr fontId="1" type="noConversion"/>
  </si>
  <si>
    <t>銅鑼灣羅素街61號麗園大廈9樓G室</t>
  </si>
  <si>
    <t>B</t>
    <phoneticPr fontId="1" type="noConversion"/>
  </si>
  <si>
    <t>B/C</t>
    <phoneticPr fontId="1" type="noConversion"/>
  </si>
  <si>
    <t>C25</t>
    <phoneticPr fontId="1" type="noConversion"/>
  </si>
  <si>
    <t>S</t>
    <phoneticPr fontId="1" type="noConversion"/>
  </si>
  <si>
    <t>W</t>
    <phoneticPr fontId="1" type="noConversion"/>
  </si>
  <si>
    <t>4/F , No.25 , Lee Garden Road. Causeway Bay.</t>
    <phoneticPr fontId="1" type="noConversion"/>
  </si>
  <si>
    <t>銅鑼灣利園山道25號4樓</t>
    <phoneticPr fontId="1" type="noConversion"/>
  </si>
  <si>
    <t>C27</t>
  </si>
  <si>
    <t>R2456</t>
    <phoneticPr fontId="1" type="noConversion"/>
  </si>
  <si>
    <t>Flat E, 9/F,East South Building ,475-481 Hennessy Road. Causeway Bay.</t>
  </si>
  <si>
    <t>銅鑼灣軒尼詩道475-481號東南大廈9樓E室</t>
  </si>
  <si>
    <t>C</t>
    <phoneticPr fontId="1" type="noConversion"/>
  </si>
  <si>
    <t>F1</t>
  </si>
  <si>
    <t>Flat L, 14/F, Continental Mansion, No.294 King's Road, Fortress Hill, Hong Kong.</t>
    <phoneticPr fontId="1" type="noConversion"/>
  </si>
  <si>
    <t>炮台山英皇道294號五洲大廈14樓L室</t>
  </si>
  <si>
    <t>F3</t>
    <phoneticPr fontId="1" type="noConversion"/>
  </si>
  <si>
    <t>F</t>
    <phoneticPr fontId="1" type="noConversion"/>
  </si>
  <si>
    <t>L</t>
    <phoneticPr fontId="1" type="noConversion"/>
  </si>
  <si>
    <t>R8527</t>
    <phoneticPr fontId="0" type="noConversion"/>
  </si>
  <si>
    <t>3/F, No.298 Electric Road, Fortress Hill, Hong Kong.</t>
    <phoneticPr fontId="1" type="noConversion"/>
  </si>
  <si>
    <t>F</t>
    <phoneticPr fontId="3" type="noConversion"/>
  </si>
  <si>
    <t>L</t>
    <phoneticPr fontId="3" type="noConversion"/>
  </si>
  <si>
    <t>C2</t>
    <phoneticPr fontId="1" type="noConversion"/>
  </si>
  <si>
    <t>MH3</t>
    <phoneticPr fontId="1" type="noConversion"/>
  </si>
  <si>
    <t>Flat A, 9/F, Sun Tao Building, 12-18 Morrison Hill Road, Wan Chai. Hong Kong.</t>
    <phoneticPr fontId="1" type="noConversion"/>
  </si>
  <si>
    <t>灣仔摩理臣山道12號新都樓9樓A座</t>
  </si>
  <si>
    <t>MK1</t>
  </si>
  <si>
    <t>7/F, Sun Fai Building, No.48-50  Argyle Street, Mong Kok, Kowloon</t>
    <phoneticPr fontId="1" type="noConversion"/>
  </si>
  <si>
    <t>旺角亞皆老街48號新輝大廈7樓</t>
  </si>
  <si>
    <t>D3</t>
    <phoneticPr fontId="1" type="noConversion"/>
  </si>
  <si>
    <t>ML3</t>
    <phoneticPr fontId="1" type="noConversion"/>
  </si>
  <si>
    <t>3/F, No.87 Caine Road, Central. Hong Kong</t>
    <phoneticPr fontId="1" type="noConversion"/>
  </si>
  <si>
    <t>中環堅道87號3字樓</t>
    <phoneticPr fontId="1" type="noConversion"/>
  </si>
  <si>
    <t>ML7</t>
  </si>
  <si>
    <t>R4520</t>
    <phoneticPr fontId="1" type="noConversion"/>
  </si>
  <si>
    <t>Flat A, 3/F, No.10 Prince's Terrace, Central. Hong Kong</t>
    <phoneticPr fontId="1" type="noConversion"/>
  </si>
  <si>
    <t>ML19</t>
  </si>
  <si>
    <t>2580#</t>
    <phoneticPr fontId="1" type="noConversion"/>
  </si>
  <si>
    <t>2nd Floor on Block C, 17-21 Gough Street, Hong Kong</t>
    <phoneticPr fontId="1" type="noConversion"/>
  </si>
  <si>
    <t>R7621</t>
    <phoneticPr fontId="1" type="noConversion"/>
  </si>
  <si>
    <t>Flat A8, 2/F, Kam Ping Mansion, 63-69 Kam Ping Street, North Point, Hong Kong</t>
    <phoneticPr fontId="1" type="noConversion"/>
  </si>
  <si>
    <t>B1</t>
    <phoneticPr fontId="1" type="noConversion"/>
  </si>
  <si>
    <t>N2</t>
    <phoneticPr fontId="1" type="noConversion"/>
  </si>
  <si>
    <t>Flat A1, 1/F, Kam Ping Mansion, 63-69 Kam Ping Street, North Point, Hong Kong</t>
    <phoneticPr fontId="1" type="noConversion"/>
  </si>
  <si>
    <t>北角錦屏街63-69號錦屏樓1樓A1室</t>
  </si>
  <si>
    <t>N3</t>
  </si>
  <si>
    <t>3/F, 35 Ming Yuen Western Street, North Point, Hong Kong</t>
    <phoneticPr fontId="1" type="noConversion"/>
  </si>
  <si>
    <t>北角明園西街35號3樓</t>
  </si>
  <si>
    <t>N5</t>
  </si>
  <si>
    <t>1/F, 39 Ming Yuen Western Street, North Point, Hong Kong</t>
    <phoneticPr fontId="1" type="noConversion"/>
  </si>
  <si>
    <t>北角明園西街39號1樓</t>
    <phoneticPr fontId="1" type="noConversion"/>
  </si>
  <si>
    <t>N7</t>
    <phoneticPr fontId="3" type="noConversion"/>
  </si>
  <si>
    <t>S</t>
    <phoneticPr fontId="3" type="noConversion"/>
  </si>
  <si>
    <t>R2839</t>
    <phoneticPr fontId="3" type="noConversion"/>
  </si>
  <si>
    <t>A2</t>
    <phoneticPr fontId="3" type="noConversion"/>
  </si>
  <si>
    <t>N8</t>
    <phoneticPr fontId="3" type="noConversion"/>
  </si>
  <si>
    <t>W</t>
    <phoneticPr fontId="3" type="noConversion"/>
  </si>
  <si>
    <t>394309#</t>
    <phoneticPr fontId="1" type="noConversion"/>
  </si>
  <si>
    <t>2/F, 80 Java Road, North Point, Hong Kong</t>
  </si>
  <si>
    <t>北角渣華道80號2樓</t>
    <phoneticPr fontId="3" type="noConversion"/>
  </si>
  <si>
    <t>A1</t>
    <phoneticPr fontId="3" type="noConversion"/>
  </si>
  <si>
    <t>N9</t>
  </si>
  <si>
    <t>S</t>
  </si>
  <si>
    <t>R3789</t>
    <phoneticPr fontId="3" type="noConversion"/>
  </si>
  <si>
    <t>No.85, 8/F, Hong Lok Building, 77-87 Marble Rd, North Point, Hong Kong</t>
  </si>
  <si>
    <t>PE1</t>
  </si>
  <si>
    <t>Flat C, 2/F, Gardenview Building, 197-209 Sai Yeung Choi Street North, Kowloon</t>
    <phoneticPr fontId="1" type="noConversion"/>
  </si>
  <si>
    <t>B 104</t>
    <phoneticPr fontId="1" type="noConversion"/>
  </si>
  <si>
    <t>A1</t>
    <phoneticPr fontId="1" type="noConversion"/>
  </si>
  <si>
    <t>PE3</t>
    <phoneticPr fontId="1" type="noConversion"/>
  </si>
  <si>
    <t>2/F, No.383 Portland Street, Mong Kok. Kowloon.</t>
  </si>
  <si>
    <t>D</t>
    <phoneticPr fontId="1" type="noConversion"/>
  </si>
  <si>
    <t>PE4</t>
    <phoneticPr fontId="1" type="noConversion"/>
  </si>
  <si>
    <t>LW</t>
    <phoneticPr fontId="1" type="noConversion"/>
  </si>
  <si>
    <t>Flat C, 11/F, Ka Wui Building, No.7 Fuk Wing Street, Kowloon</t>
    <phoneticPr fontId="1" type="noConversion"/>
  </si>
  <si>
    <t>B 905</t>
    <phoneticPr fontId="1" type="noConversion"/>
  </si>
  <si>
    <t>Q1</t>
    <phoneticPr fontId="1" type="noConversion"/>
  </si>
  <si>
    <t>5s3F</t>
    <phoneticPr fontId="1" type="noConversion"/>
  </si>
  <si>
    <t>8/F, Block D1, Ritz Garden Apartments, 937-939 King's Road, Quarry Bay.</t>
    <phoneticPr fontId="1" type="noConversion"/>
  </si>
  <si>
    <t>S4</t>
    <phoneticPr fontId="1" type="noConversion"/>
  </si>
  <si>
    <t>SP4</t>
    <phoneticPr fontId="3" type="noConversion"/>
  </si>
  <si>
    <t>B 104/10/101</t>
    <phoneticPr fontId="1" type="noConversion"/>
  </si>
  <si>
    <t>B2</t>
    <phoneticPr fontId="1" type="noConversion"/>
  </si>
  <si>
    <t>ST4</t>
  </si>
  <si>
    <t>R1379</t>
    <phoneticPr fontId="1" type="noConversion"/>
  </si>
  <si>
    <t xml:space="preserve">Room 509, 4/F Mei Shing Mansion, No 511 Queen's Road  West , Shek Tong Tsui, Hong Kong </t>
    <phoneticPr fontId="1" type="noConversion"/>
  </si>
  <si>
    <t>石塘咀皇后大道西511號美城大廈4字樓509室</t>
    <phoneticPr fontId="1" type="noConversion"/>
  </si>
  <si>
    <t>B2</t>
  </si>
  <si>
    <t>A2</t>
    <phoneticPr fontId="1" type="noConversion"/>
  </si>
  <si>
    <t>SW8</t>
  </si>
  <si>
    <t>2460#</t>
    <phoneticPr fontId="1" type="noConversion"/>
  </si>
  <si>
    <t>5/F&amp; Roof, No.13-15 Queen's Road West, Sheung Wan. Hong Kong</t>
    <phoneticPr fontId="1" type="noConversion"/>
  </si>
  <si>
    <t>上環皇后大道西13-15號5樓連天台</t>
  </si>
  <si>
    <t>SW17</t>
  </si>
  <si>
    <t>Flat E , 2/F , Sun Shing Mansion , No.31 Queen's Road West . Sheung Wan.HK</t>
    <phoneticPr fontId="1" type="noConversion"/>
  </si>
  <si>
    <t>上環皇后大道西31號新成大廈2樓E室</t>
  </si>
  <si>
    <t>T4</t>
  </si>
  <si>
    <t>Flat A1, 16/F, Tsim Sha Tsui Mansion, No.87 Nathan Road, Tsim Sha Tsui. Kowloon</t>
    <phoneticPr fontId="1" type="noConversion"/>
  </si>
  <si>
    <t>尖沙咀彌敦道87號華源大廈16樓A1室</t>
  </si>
  <si>
    <t>T5</t>
    <phoneticPr fontId="1" type="noConversion"/>
  </si>
  <si>
    <t>Room B, 5/F, Rose Mansion, 1 Prat Avenue, Tsim Sha Tsui. Kowloon</t>
    <phoneticPr fontId="1" type="noConversion"/>
  </si>
  <si>
    <t>尖沙咀寶勒巷1號玫瑰大廈5樓B室</t>
  </si>
  <si>
    <t>T6</t>
    <phoneticPr fontId="1" type="noConversion"/>
  </si>
  <si>
    <t>3S2F</t>
    <phoneticPr fontId="1" type="noConversion"/>
  </si>
  <si>
    <t>2/F , No.1F Kimberley Street, Tsim Sha Tsui. Kowloon</t>
    <phoneticPr fontId="1" type="noConversion"/>
  </si>
  <si>
    <t>尖沙咀金巴利街1F號2樓(唐3樓)</t>
  </si>
  <si>
    <t>T7</t>
    <phoneticPr fontId="1" type="noConversion"/>
  </si>
  <si>
    <t>3/F , No.1F Kimberley Street, Tsim Sha Tsui. Kowloon</t>
    <phoneticPr fontId="1" type="noConversion"/>
  </si>
  <si>
    <t>尖沙咀金巴利街1F號3樓(唐4樓)</t>
  </si>
  <si>
    <t>TK3</t>
    <phoneticPr fontId="1" type="noConversion"/>
  </si>
  <si>
    <t>Flat 79A, 15/F,Hing Wong Mansion,No.2-6 Fuk Chak St,Tai Kok Tsui. Kowloon</t>
    <phoneticPr fontId="1" type="noConversion"/>
  </si>
  <si>
    <t>TK6</t>
    <phoneticPr fontId="1" type="noConversion"/>
  </si>
  <si>
    <t>1ST Floor(Front Portion) No.8 Pok Man Street ,Tai Kok Tsui, Kowloon</t>
    <phoneticPr fontId="1" type="noConversion"/>
  </si>
  <si>
    <t>大角咀博文街8號一樓前座</t>
    <phoneticPr fontId="1" type="noConversion"/>
  </si>
  <si>
    <t>TH1</t>
    <phoneticPr fontId="1" type="noConversion"/>
  </si>
  <si>
    <t xml:space="preserve">Flat A, 8/F, Wing Hing House, 107-109 Electric Road, Tin Hau. </t>
    <phoneticPr fontId="1" type="noConversion"/>
  </si>
  <si>
    <t>W9</t>
    <phoneticPr fontId="1" type="noConversion"/>
  </si>
  <si>
    <t xml:space="preserve"> Flat B, 8/F, Jade House , 210-214 Hennessy Road , Wanchai.Hong Kong</t>
    <phoneticPr fontId="1" type="noConversion"/>
  </si>
  <si>
    <t>A4</t>
    <phoneticPr fontId="1" type="noConversion"/>
  </si>
  <si>
    <t>W10</t>
  </si>
  <si>
    <t>摩利臣山灣仔道201-203號2樓201A室</t>
  </si>
  <si>
    <t>Y2</t>
    <phoneticPr fontId="1" type="noConversion"/>
  </si>
  <si>
    <t>R1008</t>
  </si>
  <si>
    <t>482, 3/F, Hung Hsing Building, No.482-484 Nathan Road, Yau Ma Tei. Kowloon</t>
    <phoneticPr fontId="1" type="noConversion"/>
  </si>
  <si>
    <t>Y8</t>
    <phoneticPr fontId="1" type="noConversion"/>
  </si>
  <si>
    <t>5/F, No.21 Waterloo Road, Yau Ma Tei. Kowloon</t>
    <phoneticPr fontId="1" type="noConversion"/>
  </si>
  <si>
    <t>Y13</t>
    <phoneticPr fontId="1" type="noConversion"/>
  </si>
  <si>
    <t>Room 13, 17/F, Bell House, Block C, No.525-543 Nathan Road, Yau Ma Tei. Kowloon</t>
    <phoneticPr fontId="3" type="noConversion"/>
  </si>
  <si>
    <t>油麻地彌敦道525-543號寶寧大廈C座17樓13室</t>
  </si>
  <si>
    <t>銅鑼灣堅拿道西24-25號4樓C室</t>
    <phoneticPr fontId="3" type="noConversion"/>
  </si>
  <si>
    <t>銅鑼灣怡和街38-40號怡華大廈12樓A室</t>
    <phoneticPr fontId="1" type="noConversion"/>
  </si>
  <si>
    <t>銅鑼灣軒尼斯道347號友誼大廈7樓</t>
    <phoneticPr fontId="3" type="noConversion"/>
  </si>
  <si>
    <t>炮台山電氣道298號3樓</t>
    <phoneticPr fontId="3" type="noConversion"/>
  </si>
  <si>
    <t>中環歌富街17號唐3樓C室</t>
    <phoneticPr fontId="1" type="noConversion"/>
  </si>
  <si>
    <t>北角馬寶道77-87號康樂大廈唐九樓83號</t>
    <phoneticPr fontId="3" type="noConversion"/>
  </si>
  <si>
    <t>北角馬寶道77-87號康樂大廈唐九樓85號</t>
    <phoneticPr fontId="3" type="noConversion"/>
  </si>
  <si>
    <t>太子西洋菜北街197-209號園景花園2樓2C室</t>
    <phoneticPr fontId="1" type="noConversion"/>
  </si>
  <si>
    <t>太子福榮街7號嘉匯大廈11樓C室</t>
    <phoneticPr fontId="1" type="noConversion"/>
  </si>
  <si>
    <t>西營盤高街53-65號富裕大廈6樓C室</t>
  </si>
  <si>
    <t>九龍大角咀福澤街2-6號興旺大廈15樓79A室</t>
    <phoneticPr fontId="3" type="noConversion"/>
  </si>
  <si>
    <t>銅鑼灣電氣道107-109號榮興樓8樓A室</t>
    <phoneticPr fontId="1" type="noConversion"/>
  </si>
  <si>
    <t>灣仔軒尼斯道210-214號玉滿樓8 樓B室</t>
    <phoneticPr fontId="3" type="noConversion"/>
  </si>
  <si>
    <t>油麻地彌敦道482-484號鴻星大廈3樓482</t>
    <phoneticPr fontId="1" type="noConversion"/>
  </si>
  <si>
    <t>油麻地窩打老道21號5樓</t>
    <phoneticPr fontId="3" type="noConversion"/>
  </si>
  <si>
    <t>旺角砵蘭街383號唐3樓</t>
    <phoneticPr fontId="1" type="noConversion"/>
  </si>
  <si>
    <t xml:space="preserve">鰂魚涌英皇道937-939號麗池大廈D1座8樓 </t>
    <phoneticPr fontId="3" type="noConversion"/>
  </si>
  <si>
    <t>T 堅拿道西
B (10)</t>
    <phoneticPr fontId="3" type="noConversion"/>
  </si>
  <si>
    <t>B (5B怡和街站)</t>
    <phoneticPr fontId="3" type="noConversion"/>
  </si>
  <si>
    <t>T 富明街</t>
    <phoneticPr fontId="3" type="noConversion"/>
  </si>
  <si>
    <t>T 杜老誌道</t>
    <phoneticPr fontId="1" type="noConversion"/>
  </si>
  <si>
    <t>B(914 / 905)</t>
    <phoneticPr fontId="1" type="noConversion"/>
  </si>
  <si>
    <t>B( 5B / 101 )</t>
    <phoneticPr fontId="3" type="noConversion"/>
  </si>
  <si>
    <t>T (杜老誌街)
B ( 1 / 5B )</t>
    <phoneticPr fontId="1" type="noConversion"/>
  </si>
  <si>
    <t>R2368</t>
    <phoneticPr fontId="1" type="noConversion"/>
  </si>
  <si>
    <t>北角錦屏街63-69號錦屏樓2樓A8室</t>
    <phoneticPr fontId="1" type="noConversion"/>
  </si>
  <si>
    <t>N1</t>
    <phoneticPr fontId="1" type="noConversion"/>
  </si>
  <si>
    <t xml:space="preserve">B (914) </t>
    <phoneticPr fontId="3" type="noConversion"/>
  </si>
  <si>
    <t>R3579</t>
    <phoneticPr fontId="3" type="noConversion"/>
  </si>
  <si>
    <t>No.83, 8/F, Hong Lok Building, 77-87 Marble Rd, North Point, Hong Kong</t>
    <phoneticPr fontId="1" type="noConversion"/>
  </si>
  <si>
    <t>中環太子檯10號3樓A室</t>
    <phoneticPr fontId="1" type="noConversion"/>
  </si>
  <si>
    <t xml:space="preserve">Flat 201A 2/F Wai Hay Mansion 201-203 Wan Chai Rd Morrison Hill </t>
    <phoneticPr fontId="1" type="noConversion"/>
  </si>
  <si>
    <t>Luen Wo Apartments</t>
    <phoneticPr fontId="1" type="noConversion"/>
  </si>
  <si>
    <t>nil</t>
    <phoneticPr fontId="1" type="noConversion"/>
  </si>
  <si>
    <t>key</t>
    <phoneticPr fontId="1" type="noConversion"/>
  </si>
  <si>
    <t>深水埗南昌街16號(海壇街143號)唐11樓C座 (廣豐樓)</t>
    <phoneticPr fontId="1" type="noConversion"/>
  </si>
  <si>
    <t>Flat C,10/F,No.16, Nam Cheong Street, Sham Shui Po, Kowloon (Kwong Fung House)</t>
    <phoneticPr fontId="3" type="noConversion"/>
  </si>
  <si>
    <t>Flat C, 6/F, Wealth Building, 53-65 High Street, Sai Ying Pun, Hong Kong. (7559#)</t>
    <phoneticPr fontId="3" type="noConversion"/>
  </si>
  <si>
    <t>Returned Date</t>
    <phoneticPr fontId="1" type="noConversion"/>
  </si>
  <si>
    <t>000</t>
    <phoneticPr fontId="1" type="noConversion"/>
  </si>
  <si>
    <t>mail box p/w</t>
    <phoneticPr fontId="1" type="noConversion"/>
  </si>
  <si>
    <t>R1789</t>
    <phoneticPr fontId="1" type="noConversion"/>
  </si>
  <si>
    <t>Apt door p/w</t>
    <phoneticPr fontId="1" type="noConversion"/>
  </si>
  <si>
    <t>1478#</t>
    <phoneticPr fontId="1" type="noConversion"/>
  </si>
  <si>
    <t>7559#</t>
    <phoneticPr fontId="1" type="noConversion"/>
  </si>
  <si>
    <t>2555#</t>
    <phoneticPr fontId="1" type="noConversion"/>
  </si>
  <si>
    <t>R3548</t>
    <phoneticPr fontId="1" type="noConversion"/>
  </si>
  <si>
    <t>Flat A, 12/F, Yee Wah Mansion, No.38-40 Yee Woo Street. Causeway Bay.</t>
  </si>
  <si>
    <t>https://maps.app.goo.gl/ZZbu1sTCsLzsMSJ19</t>
  </si>
  <si>
    <t>7/F, Friendship Mansion, No.347 Hennessy Road. Causeway Bay. Hong Kong.</t>
  </si>
  <si>
    <t>https://maps.app.goo.gl/kG3naQMHnP8NjPgJ7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</si>
</sst>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HKD]\ #,##0.00"/>
    <numFmt numFmtId="165" formatCode="0_);[Red]\(0\)"/>
    <numFmt numFmtId="166" formatCode="mmm/yyyy"/>
  </numFmts>
  <fonts count="18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24"/>
      <color theme="1"/>
      <name val="Arial"/>
      <family val="2"/>
    </font>
    <font>
      <sz val="9"/>
      <name val="Calibri"/>
      <family val="3"/>
      <charset val="134"/>
      <scheme val="minor"/>
    </font>
    <font>
      <sz val="24"/>
      <color theme="1"/>
      <name val="Arial Black"/>
      <family val="2"/>
    </font>
    <font>
      <b/>
      <sz val="26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20"/>
      <name val="微軟正黑體"/>
      <family val="2"/>
      <charset val="136"/>
    </font>
    <font>
      <b/>
      <sz val="18"/>
      <name val="微軟正黑體"/>
      <family val="2"/>
      <charset val="136"/>
    </font>
    <font>
      <b/>
      <i/>
      <sz val="24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28"/>
      <color theme="1"/>
      <name val="微軟正黑體"/>
      <family val="2"/>
      <charset val="136"/>
    </font>
    <font>
      <b/>
      <sz val="22"/>
      <name val="微軟正黑體"/>
      <family val="2"/>
      <charset val="136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164" fontId="17" fillId="0" borderId="0" applyNumberFormat="0" applyFill="0" applyBorder="0" applyAlignment="0" applyProtection="0"/>
  </cellStyleXfs>
  <cellXfs count="57">
    <xf numFmtId="164" fontId="0" fillId="0" borderId="0" xfId="0"/>
    <xf numFmtId="164" fontId="2" fillId="0" borderId="0" xfId="0" applyFont="1" applyAlignment="1">
      <alignment wrapText="1"/>
    </xf>
    <xf numFmtId="164" fontId="2" fillId="0" borderId="0" xfId="0" applyFont="1" applyAlignment="1">
      <alignment horizontal="center" vertical="center" wrapText="1" shrinkToFit="1"/>
    </xf>
    <xf numFmtId="164" fontId="2" fillId="0" borderId="0" xfId="0" applyFont="1" applyAlignment="1">
      <alignment horizontal="center" wrapText="1"/>
    </xf>
    <xf numFmtId="164" fontId="4" fillId="0" borderId="0" xfId="0" applyFont="1" applyAlignment="1">
      <alignment horizontal="center" wrapText="1"/>
    </xf>
    <xf numFmtId="164" fontId="6" fillId="0" borderId="1" xfId="0" applyFont="1" applyBorder="1" applyAlignment="1">
      <alignment horizontal="center" vertical="center" wrapText="1" shrinkToFit="1"/>
    </xf>
    <xf numFmtId="164" fontId="7" fillId="0" borderId="1" xfId="0" applyFont="1" applyBorder="1" applyAlignment="1">
      <alignment horizontal="center" vertical="center" wrapText="1" shrinkToFit="1"/>
    </xf>
    <xf numFmtId="164" fontId="8" fillId="0" borderId="1" xfId="0" applyFont="1" applyBorder="1" applyAlignment="1">
      <alignment horizontal="center" vertical="center" wrapText="1" shrinkToFit="1"/>
    </xf>
    <xf numFmtId="164" fontId="9" fillId="0" borderId="1" xfId="0" applyFont="1" applyBorder="1" applyAlignment="1">
      <alignment wrapText="1" shrinkToFit="1"/>
    </xf>
    <xf numFmtId="164" fontId="9" fillId="0" borderId="1" xfId="0" applyFont="1" applyBorder="1" applyAlignment="1">
      <alignment horizontal="center" vertical="center" wrapText="1" shrinkToFit="1"/>
    </xf>
    <xf numFmtId="164" fontId="7" fillId="0" borderId="1" xfId="0" applyFont="1" applyBorder="1" applyAlignment="1">
      <alignment wrapText="1"/>
    </xf>
    <xf numFmtId="164" fontId="7" fillId="0" borderId="1" xfId="0" applyFont="1" applyBorder="1" applyAlignment="1">
      <alignment wrapText="1" shrinkToFit="1"/>
    </xf>
    <xf numFmtId="164" fontId="8" fillId="0" borderId="1" xfId="0" applyFont="1" applyBorder="1" applyAlignment="1">
      <alignment wrapText="1" shrinkToFit="1"/>
    </xf>
    <xf numFmtId="164" fontId="8" fillId="0" borderId="1" xfId="0" applyFont="1" applyBorder="1" applyAlignment="1">
      <alignment wrapText="1"/>
    </xf>
    <xf numFmtId="164" fontId="6" fillId="0" borderId="1" xfId="0" applyFont="1" applyBorder="1" applyAlignment="1">
      <alignment wrapText="1" shrinkToFit="1"/>
    </xf>
    <xf numFmtId="1" fontId="10" fillId="0" borderId="1" xfId="0" applyNumberFormat="1" applyFont="1" applyBorder="1" applyAlignment="1">
      <alignment horizontal="center" vertical="center" wrapText="1" shrinkToFit="1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 shrinkToFit="1"/>
    </xf>
    <xf numFmtId="166" fontId="5" fillId="0" borderId="1" xfId="0" applyNumberFormat="1" applyFont="1" applyBorder="1" applyAlignment="1">
      <alignment vertical="center" wrapText="1" shrinkToFit="1"/>
    </xf>
    <xf numFmtId="164" fontId="5" fillId="0" borderId="1" xfId="0" applyFont="1" applyBorder="1" applyAlignment="1">
      <alignment vertical="center" wrapText="1" shrinkToFit="1"/>
    </xf>
    <xf numFmtId="1" fontId="12" fillId="0" borderId="1" xfId="0" applyNumberFormat="1" applyFont="1" applyBorder="1" applyAlignment="1">
      <alignment horizontal="center" vertical="center" wrapText="1" shrinkToFit="1"/>
    </xf>
    <xf numFmtId="164" fontId="5" fillId="0" borderId="1" xfId="0" applyFont="1" applyBorder="1" applyAlignment="1">
      <alignment horizontal="left" vertical="center" wrapText="1" shrinkToFit="1"/>
    </xf>
    <xf numFmtId="166" fontId="5" fillId="0" borderId="1" xfId="0" applyNumberFormat="1" applyFont="1" applyBorder="1" applyAlignment="1">
      <alignment vertical="distributed" wrapText="1" shrinkToFit="1"/>
    </xf>
    <xf numFmtId="164" fontId="9" fillId="0" borderId="0" xfId="0" applyFont="1" applyAlignment="1">
      <alignment wrapText="1" shrinkToFit="1"/>
    </xf>
    <xf numFmtId="164" fontId="9" fillId="0" borderId="0" xfId="0" applyFont="1" applyAlignment="1">
      <alignment horizontal="center" vertical="center" wrapText="1" shrinkToFit="1"/>
    </xf>
    <xf numFmtId="164" fontId="7" fillId="0" borderId="0" xfId="0" applyFont="1" applyAlignment="1">
      <alignment wrapText="1"/>
    </xf>
    <xf numFmtId="164" fontId="7" fillId="0" borderId="0" xfId="0" applyFont="1" applyAlignment="1">
      <alignment wrapText="1" shrinkToFit="1"/>
    </xf>
    <xf numFmtId="164" fontId="8" fillId="0" borderId="0" xfId="0" applyFont="1" applyAlignment="1">
      <alignment wrapText="1" shrinkToFit="1"/>
    </xf>
    <xf numFmtId="164" fontId="8" fillId="0" borderId="0" xfId="0" applyFont="1" applyAlignment="1">
      <alignment wrapText="1"/>
    </xf>
    <xf numFmtId="164" fontId="6" fillId="0" borderId="0" xfId="0" applyFont="1" applyAlignment="1">
      <alignment wrapText="1" shrinkToFit="1"/>
    </xf>
    <xf numFmtId="165" fontId="9" fillId="0" borderId="0" xfId="0" applyNumberFormat="1" applyFont="1" applyAlignment="1">
      <alignment horizontal="center" vertical="center" wrapText="1" shrinkToFit="1"/>
    </xf>
    <xf numFmtId="164" fontId="9" fillId="0" borderId="0" xfId="0" applyFont="1" applyAlignment="1">
      <alignment vertical="center" wrapText="1" shrinkToFit="1"/>
    </xf>
    <xf numFmtId="14" fontId="8" fillId="0" borderId="0" xfId="0" applyNumberFormat="1" applyFont="1" applyAlignment="1">
      <alignment horizontal="center" vertical="center" wrapText="1" shrinkToFit="1"/>
    </xf>
    <xf numFmtId="164" fontId="2" fillId="0" borderId="0" xfId="0" applyFont="1" applyAlignment="1">
      <alignment vertical="center" wrapText="1"/>
    </xf>
    <xf numFmtId="1" fontId="10" fillId="0" borderId="0" xfId="0" applyNumberFormat="1" applyFont="1" applyAlignment="1">
      <alignment horizontal="center" vertical="center" wrapText="1" shrinkToFit="1"/>
    </xf>
    <xf numFmtId="1" fontId="11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 shrinkToFit="1"/>
    </xf>
    <xf numFmtId="166" fontId="5" fillId="0" borderId="0" xfId="0" applyNumberFormat="1" applyFont="1" applyAlignment="1">
      <alignment vertical="center" wrapText="1" shrinkToFit="1"/>
    </xf>
    <xf numFmtId="164" fontId="5" fillId="0" borderId="0" xfId="0" applyFont="1" applyAlignment="1">
      <alignment vertical="center" wrapText="1" shrinkToFit="1"/>
    </xf>
    <xf numFmtId="1" fontId="12" fillId="0" borderId="0" xfId="0" applyNumberFormat="1" applyFont="1" applyAlignment="1">
      <alignment horizontal="center" vertical="center" wrapText="1" shrinkToFit="1"/>
    </xf>
    <xf numFmtId="1" fontId="9" fillId="0" borderId="0" xfId="0" applyNumberFormat="1" applyFont="1" applyAlignment="1">
      <alignment vertical="center" wrapText="1" shrinkToFit="1"/>
    </xf>
    <xf numFmtId="164" fontId="13" fillId="0" borderId="0" xfId="0" applyFont="1" applyAlignment="1">
      <alignment vertical="center" wrapText="1" shrinkToFit="1"/>
    </xf>
    <xf numFmtId="1" fontId="9" fillId="0" borderId="0" xfId="0" applyNumberFormat="1" applyFont="1" applyAlignment="1">
      <alignment horizontal="center" vertical="center" wrapText="1" shrinkToFit="1"/>
    </xf>
    <xf numFmtId="164" fontId="2" fillId="0" borderId="0" xfId="0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 shrinkToFit="1"/>
    </xf>
    <xf numFmtId="164" fontId="14" fillId="0" borderId="1" xfId="0" applyFont="1" applyBorder="1" applyAlignment="1">
      <alignment horizontal="center" vertical="center" wrapText="1" shrinkToFit="1"/>
    </xf>
    <xf numFmtId="164" fontId="15" fillId="0" borderId="1" xfId="0" applyFont="1" applyBorder="1" applyAlignment="1">
      <alignment horizontal="center" vertical="center" wrapText="1" shrinkToFit="1"/>
    </xf>
    <xf numFmtId="15" fontId="6" fillId="0" borderId="1" xfId="0" applyNumberFormat="1" applyFont="1" applyBorder="1" applyAlignment="1">
      <alignment horizontal="center" vertical="center" wrapText="1" shrinkToFit="1"/>
    </xf>
    <xf numFmtId="15" fontId="10" fillId="0" borderId="1" xfId="0" applyNumberFormat="1" applyFont="1" applyBorder="1" applyAlignment="1">
      <alignment horizontal="center" vertical="center" wrapText="1" shrinkToFit="1"/>
    </xf>
    <xf numFmtId="15" fontId="9" fillId="0" borderId="0" xfId="0" applyNumberFormat="1" applyFont="1" applyAlignment="1">
      <alignment wrapText="1" shrinkToFit="1"/>
    </xf>
    <xf numFmtId="15" fontId="13" fillId="0" borderId="0" xfId="0" applyNumberFormat="1" applyFont="1" applyAlignment="1">
      <alignment vertical="center" wrapText="1" shrinkToFit="1"/>
    </xf>
    <xf numFmtId="164" fontId="13" fillId="0" borderId="0" xfId="0" applyFont="1" applyAlignment="1">
      <alignment horizontal="center" vertical="center" wrapText="1" shrinkToFit="1"/>
    </xf>
    <xf numFmtId="1" fontId="10" fillId="0" borderId="1" xfId="0" quotePrefix="1" applyNumberFormat="1" applyFont="1" applyBorder="1" applyAlignment="1">
      <alignment horizontal="center" vertical="center" wrapText="1" shrinkToFit="1"/>
    </xf>
    <xf numFmtId="1" fontId="16" fillId="0" borderId="1" xfId="0" applyNumberFormat="1" applyFont="1" applyBorder="1" applyAlignment="1">
      <alignment horizontal="center" vertical="center" wrapText="1" shrinkToFit="1"/>
    </xf>
    <xf numFmtId="164" fontId="17" fillId="0" borderId="0" xfId="1" applyAlignment="1">
      <alignment horizontal="center" wrapText="1"/>
    </xf>
    <xf numFmtId="1" fontId="9" fillId="0" borderId="0" xfId="0" applyNumberFormat="1" applyFont="1" applyAlignment="1">
      <alignment horizontal="left" vertical="center" wrapText="1" shrinkToFit="1"/>
    </xf>
    <xf numFmtId="164" fontId="13" fillId="0" borderId="0" xfId="0" applyFont="1" applyAlignment="1">
      <alignment horizontal="center" vertical="center" wrapText="1" shrinkToFit="1"/>
    </xf>
  </cellXfs>
  <cellStyles count="2">
    <cellStyle name="Hyperlink" xfId="1" builtinId="8"/>
    <cellStyle name="Normal" xfId="0" builtinId="0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cl\TCCL\OPERATIONS~~\ADDRESS%20UPDATED\Address%20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5"/>
    </sheetNames>
    <sheetDataSet>
      <sheetData sheetId="0">
        <row r="5">
          <cell r="A5" t="str">
            <v>C2</v>
          </cell>
        </row>
      </sheetData>
      <sheetData sheetId="1" refreshError="1"/>
      <sheetData sheetId="2">
        <row r="1">
          <cell r="A1" t="str">
            <v>Loc</v>
          </cell>
          <cell r="B1" t="str">
            <v>F/S</v>
          </cell>
          <cell r="C1" t="str">
            <v>Lift/Walk</v>
          </cell>
          <cell r="D1" t="str">
            <v>Rm</v>
          </cell>
          <cell r="E1" t="str">
            <v>Gate PW</v>
          </cell>
          <cell r="F1" t="str">
            <v>Address</v>
          </cell>
        </row>
        <row r="2">
          <cell r="A2" t="str">
            <v>A1</v>
          </cell>
          <cell r="B2" t="str">
            <v>F</v>
          </cell>
          <cell r="C2" t="str">
            <v>L</v>
          </cell>
          <cell r="D2">
            <v>4</v>
          </cell>
          <cell r="E2" t="str">
            <v>R9763</v>
          </cell>
          <cell r="F2" t="str">
            <v>Flat C, 13/F, Bo Fung Mansion, Nos.1-4 St. Francis Yard. Wanchai. Hong Kong.</v>
          </cell>
        </row>
        <row r="3">
          <cell r="A3" t="str">
            <v>C1</v>
          </cell>
          <cell r="B3" t="str">
            <v>F</v>
          </cell>
          <cell r="C3" t="str">
            <v>L</v>
          </cell>
          <cell r="D3">
            <v>5</v>
          </cell>
          <cell r="E3" t="str">
            <v>card</v>
          </cell>
          <cell r="F3" t="str">
            <v>Flat D, 4/F, Lunar Building, No. 28-30 Leighton Road. Causeway Bay.  Hong Kong</v>
          </cell>
        </row>
        <row r="5">
          <cell r="A5" t="str">
            <v>C2</v>
          </cell>
          <cell r="B5" t="str">
            <v>F</v>
          </cell>
          <cell r="C5" t="str">
            <v>W</v>
          </cell>
          <cell r="D5">
            <v>6</v>
          </cell>
          <cell r="F5" t="str">
            <v>Flat C, 4/F, No.24-25 Canal Road West. Causeway Bay. Hong Kong</v>
          </cell>
        </row>
        <row r="6">
          <cell r="A6" t="str">
            <v>C3</v>
          </cell>
          <cell r="B6" t="str">
            <v>F</v>
          </cell>
          <cell r="C6" t="str">
            <v>W</v>
          </cell>
          <cell r="D6">
            <v>3</v>
          </cell>
          <cell r="F6" t="str">
            <v>Flat A, 2/F, Tak Cheong Bldg., No.29 Canal Road East. Causeway Bay. Hong Kong</v>
          </cell>
        </row>
        <row r="7">
          <cell r="A7" t="str">
            <v>C4</v>
          </cell>
          <cell r="B7" t="str">
            <v>F</v>
          </cell>
          <cell r="C7" t="str">
            <v>L</v>
          </cell>
          <cell r="D7">
            <v>5</v>
          </cell>
          <cell r="E7" t="str">
            <v>R9572</v>
          </cell>
          <cell r="F7" t="str">
            <v>Flat D, 6/F,Cathay Mansion, No.7 Tung Lo Wan Road. Causeway Bay. Hong Kong</v>
          </cell>
        </row>
        <row r="9">
          <cell r="A9" t="str">
            <v>C5</v>
          </cell>
          <cell r="B9" t="str">
            <v>F</v>
          </cell>
          <cell r="C9" t="str">
            <v>L</v>
          </cell>
          <cell r="D9">
            <v>4</v>
          </cell>
          <cell r="E9" t="str">
            <v>Card</v>
          </cell>
          <cell r="F9" t="str">
            <v>Flat A, 12/F, Yee Wah Masion, No.38-40 Yee Woo Street. Causeway Bay. Hong Kong</v>
          </cell>
        </row>
        <row r="10">
          <cell r="A10" t="str">
            <v>C6</v>
          </cell>
          <cell r="B10" t="str">
            <v>F</v>
          </cell>
          <cell r="C10" t="str">
            <v>L</v>
          </cell>
          <cell r="D10">
            <v>4</v>
          </cell>
          <cell r="E10" t="str">
            <v>R7419</v>
          </cell>
          <cell r="F10" t="str">
            <v>Flat B3,  14/F, Block B Wing Tak Mansion, 15 Canal Road West.Causeway Bay. Hong Kong</v>
          </cell>
        </row>
        <row r="11">
          <cell r="A11" t="str">
            <v>C7</v>
          </cell>
          <cell r="B11" t="str">
            <v>F</v>
          </cell>
          <cell r="C11" t="str">
            <v>L</v>
          </cell>
          <cell r="D11">
            <v>4</v>
          </cell>
          <cell r="F11" t="str">
            <v>7/F, Friendship Mansion, No.347 Hennessy Road. Causeway Bay. Hong Kong</v>
          </cell>
        </row>
        <row r="13">
          <cell r="A13" t="str">
            <v>C8</v>
          </cell>
          <cell r="B13" t="str">
            <v>S</v>
          </cell>
          <cell r="C13" t="str">
            <v>W</v>
          </cell>
          <cell r="D13">
            <v>3</v>
          </cell>
          <cell r="F13" t="str">
            <v>Flat B, 6/F, Happy Mansion. No.68 Percival Street. Causeway Bay. Hong Kong</v>
          </cell>
        </row>
        <row r="16">
          <cell r="A16" t="str">
            <v>C9</v>
          </cell>
          <cell r="B16" t="str">
            <v>2F/1S</v>
          </cell>
          <cell r="C16" t="str">
            <v>L</v>
          </cell>
          <cell r="D16">
            <v>3</v>
          </cell>
          <cell r="E16" t="str">
            <v>R8346</v>
          </cell>
          <cell r="F16" t="str">
            <v>Flat A1, 11/F, Block A Wing Tak Mansion, No.17 Sharp St. West. Causeway Bay. Hong Kong</v>
          </cell>
        </row>
        <row r="18">
          <cell r="A18" t="str">
            <v>C10</v>
          </cell>
          <cell r="B18" t="str">
            <v>F</v>
          </cell>
          <cell r="C18" t="str">
            <v>W</v>
          </cell>
          <cell r="D18">
            <v>5</v>
          </cell>
          <cell r="F18" t="str">
            <v>3/F, No.6 Pak Sha Road. Causeway Bay, Hong Kong</v>
          </cell>
        </row>
        <row r="19">
          <cell r="A19" t="str">
            <v>C11</v>
          </cell>
          <cell r="B19" t="str">
            <v>F</v>
          </cell>
          <cell r="C19" t="str">
            <v>W</v>
          </cell>
          <cell r="D19">
            <v>4</v>
          </cell>
          <cell r="F19" t="str">
            <v>5/F, No.76 Percival Street. Causeway Bay. Hong Kong</v>
          </cell>
        </row>
        <row r="20">
          <cell r="A20" t="str">
            <v>C12</v>
          </cell>
          <cell r="B20" t="str">
            <v>F</v>
          </cell>
          <cell r="C20" t="str">
            <v>L</v>
          </cell>
          <cell r="D20">
            <v>4</v>
          </cell>
          <cell r="E20" t="str">
            <v>R2479</v>
          </cell>
          <cell r="F20" t="str">
            <v>Flat G, 9/F, Lai Yuen Apartments, No.61 Russell Street, Causeway Bay. Hong Kong</v>
          </cell>
        </row>
        <row r="21">
          <cell r="A21" t="str">
            <v>C13</v>
          </cell>
          <cell r="B21" t="str">
            <v>F</v>
          </cell>
          <cell r="C21" t="str">
            <v>L</v>
          </cell>
          <cell r="D21">
            <v>4</v>
          </cell>
          <cell r="E21" t="str">
            <v>7963#</v>
          </cell>
          <cell r="F21" t="str">
            <v>9/F, No.458 Lockhart Road.Causeway Bay. Hong Kong</v>
          </cell>
        </row>
        <row r="23">
          <cell r="A23" t="str">
            <v>C15</v>
          </cell>
          <cell r="B23" t="str">
            <v>F</v>
          </cell>
          <cell r="C23" t="str">
            <v>L</v>
          </cell>
          <cell r="D23">
            <v>3</v>
          </cell>
          <cell r="F23" t="str">
            <v>Flat B, 14/F, Paul Yee Mansion, No.346 Jaffe Road, Causeway Bay. Hong Kong</v>
          </cell>
        </row>
        <row r="24">
          <cell r="A24" t="str">
            <v>C16</v>
          </cell>
          <cell r="B24" t="str">
            <v>F</v>
          </cell>
          <cell r="C24" t="str">
            <v>L</v>
          </cell>
          <cell r="D24">
            <v>3</v>
          </cell>
          <cell r="E24" t="str">
            <v>card</v>
          </cell>
          <cell r="F24" t="str">
            <v>Flat B, 3/F, Yan Wo Yuet Building, No.432-436 Hennessy Road. Causeway Bay.Hong Kong</v>
          </cell>
        </row>
        <row r="26">
          <cell r="A26" t="str">
            <v>C18</v>
          </cell>
          <cell r="B26" t="str">
            <v>F</v>
          </cell>
          <cell r="C26" t="str">
            <v>W</v>
          </cell>
          <cell r="D26">
            <v>3</v>
          </cell>
          <cell r="F26" t="str">
            <v>5/F, 37 Yiu Wa Street, Causeway Bay. Hong Kong</v>
          </cell>
        </row>
        <row r="28">
          <cell r="A28" t="str">
            <v>C19</v>
          </cell>
          <cell r="B28" t="str">
            <v>F</v>
          </cell>
          <cell r="C28" t="str">
            <v>L</v>
          </cell>
          <cell r="D28">
            <v>4</v>
          </cell>
          <cell r="E28" t="str">
            <v>R2673</v>
          </cell>
          <cell r="F28" t="str">
            <v>Flat C4, 14/F, Wing Tak Mansion, No.275 Wan Chai Road. Causeway Bay. Hong Kong</v>
          </cell>
        </row>
        <row r="29">
          <cell r="A29" t="str">
            <v>C20</v>
          </cell>
          <cell r="B29" t="str">
            <v>F</v>
          </cell>
          <cell r="C29" t="str">
            <v>L</v>
          </cell>
          <cell r="D29">
            <v>4</v>
          </cell>
          <cell r="E29" t="str">
            <v>R6636</v>
          </cell>
          <cell r="F29" t="str">
            <v>Flat D, 15/F Hung Yip Building, No.234-236 Wan Chai Road. Causeway Bay. Hong Kong</v>
          </cell>
        </row>
        <row r="30">
          <cell r="A30" t="str">
            <v>C21</v>
          </cell>
          <cell r="B30" t="str">
            <v>F</v>
          </cell>
          <cell r="C30" t="str">
            <v>L</v>
          </cell>
          <cell r="D30">
            <v>5</v>
          </cell>
          <cell r="E30" t="str">
            <v>R4635</v>
          </cell>
          <cell r="F30" t="str">
            <v>5/F, No.463 Hennessy Road, Causeway Bay, Hong Kong</v>
          </cell>
        </row>
        <row r="31">
          <cell r="A31" t="str">
            <v>C22</v>
          </cell>
          <cell r="B31" t="str">
            <v>F</v>
          </cell>
          <cell r="C31" t="str">
            <v>L</v>
          </cell>
          <cell r="D31">
            <v>4</v>
          </cell>
          <cell r="E31" t="str">
            <v>R4635</v>
          </cell>
          <cell r="F31" t="str">
            <v>11/F, No.465 Hennessy Road, Causeway Bay, Hong Kong</v>
          </cell>
        </row>
        <row r="32">
          <cell r="A32" t="str">
            <v>C23</v>
          </cell>
          <cell r="B32" t="str">
            <v>F</v>
          </cell>
          <cell r="C32" t="str">
            <v>L</v>
          </cell>
          <cell r="D32">
            <v>4</v>
          </cell>
          <cell r="E32" t="str">
            <v>card</v>
          </cell>
          <cell r="F32" t="str">
            <v>Flat A, 7/F, Diamond Building, No.6-18 Tin Lok Lane, Wanchai, Hong Kong</v>
          </cell>
        </row>
        <row r="33">
          <cell r="A33" t="str">
            <v>C24</v>
          </cell>
          <cell r="B33" t="str">
            <v>F</v>
          </cell>
          <cell r="C33" t="str">
            <v>L</v>
          </cell>
          <cell r="D33">
            <v>4</v>
          </cell>
          <cell r="E33" t="str">
            <v>R6735</v>
          </cell>
          <cell r="F33" t="str">
            <v>Room 6, 10/F, Yau Kwong Building, No.418-430 Hennessy Road. Causeway Bay. Hong Kong</v>
          </cell>
        </row>
        <row r="34">
          <cell r="A34" t="str">
            <v>C25</v>
          </cell>
          <cell r="F34" t="str">
            <v>4/F No. 25 Lee Garden Road, Causeway Bay, Hong Kong</v>
          </cell>
        </row>
        <row r="35">
          <cell r="A35" t="str">
            <v>C26</v>
          </cell>
          <cell r="F35" t="str">
            <v>Flat D, 5/F, East South Building, 475-481 Hennessy Road, Causeway Bay, Hong Kong</v>
          </cell>
        </row>
        <row r="36">
          <cell r="A36" t="str">
            <v>C27</v>
          </cell>
          <cell r="F36" t="str">
            <v>Flat E, 9/F, East South Building, 475-481 Hennessy Road, Causeway Bay, Hong Kong.</v>
          </cell>
        </row>
        <row r="37">
          <cell r="A37" t="str">
            <v>F1</v>
          </cell>
          <cell r="B37" t="str">
            <v>F</v>
          </cell>
          <cell r="C37" t="str">
            <v>L</v>
          </cell>
          <cell r="D37">
            <v>6</v>
          </cell>
          <cell r="E37">
            <v>2318</v>
          </cell>
          <cell r="F37" t="str">
            <v>Flat L, 14/F, Continental Mansion, No.294 King's Road, Fortress Hill. Hong Kong</v>
          </cell>
        </row>
        <row r="38">
          <cell r="A38" t="str">
            <v>F2</v>
          </cell>
          <cell r="B38" t="str">
            <v>F</v>
          </cell>
          <cell r="C38" t="str">
            <v>L</v>
          </cell>
          <cell r="D38">
            <v>5</v>
          </cell>
          <cell r="E38" t="str">
            <v>R8567</v>
          </cell>
          <cell r="F38" t="str">
            <v>3/F, No.302 Electric Road, Fortress Hill, Hong Kong</v>
          </cell>
        </row>
        <row r="39">
          <cell r="A39" t="str">
            <v>F3</v>
          </cell>
          <cell r="B39" t="str">
            <v>F</v>
          </cell>
          <cell r="C39" t="str">
            <v>L</v>
          </cell>
          <cell r="D39">
            <v>6</v>
          </cell>
          <cell r="E39" t="str">
            <v>R8527</v>
          </cell>
          <cell r="F39" t="str">
            <v>3/F, No.298 Electric Road, Fortress Hill, Hong Kong</v>
          </cell>
        </row>
        <row r="41">
          <cell r="A41" t="str">
            <v>K1</v>
          </cell>
          <cell r="B41" t="str">
            <v>F</v>
          </cell>
          <cell r="C41" t="str">
            <v>L</v>
          </cell>
          <cell r="D41">
            <v>4</v>
          </cell>
          <cell r="E41">
            <v>2356</v>
          </cell>
          <cell r="F41" t="str">
            <v>Flat 5, 3/F Flat roof of Block B Hoi Tao Building, No.7-11 Belcher's Street. Sai Wan. Hong Kong</v>
          </cell>
        </row>
        <row r="42">
          <cell r="A42" t="str">
            <v>K2</v>
          </cell>
          <cell r="B42" t="str">
            <v>F</v>
          </cell>
          <cell r="C42" t="str">
            <v>L</v>
          </cell>
          <cell r="D42">
            <v>5</v>
          </cell>
          <cell r="E42">
            <v>7680</v>
          </cell>
          <cell r="F42" t="str">
            <v>Flat H, 5/F, May Sun Building, No.1-15 Smithfield Road.Sai Wan. Hong Kong</v>
          </cell>
        </row>
        <row r="43">
          <cell r="A43" t="str">
            <v>K3</v>
          </cell>
          <cell r="B43" t="str">
            <v>F</v>
          </cell>
          <cell r="C43" t="str">
            <v>L</v>
          </cell>
          <cell r="D43">
            <v>5</v>
          </cell>
          <cell r="E43" t="str">
            <v>R2329</v>
          </cell>
          <cell r="F43" t="str">
            <v>Flat B, 1/F, Block B, No. 41-45 Belcher's Street, Tung Hing Mansion. Sai Wan. Hong Kong</v>
          </cell>
        </row>
        <row r="44">
          <cell r="A44" t="str">
            <v>K5</v>
          </cell>
          <cell r="B44" t="str">
            <v>F</v>
          </cell>
          <cell r="C44" t="str">
            <v>L</v>
          </cell>
          <cell r="D44">
            <v>5</v>
          </cell>
          <cell r="E44">
            <v>1289</v>
          </cell>
          <cell r="F44" t="str">
            <v>Flat J, 4/F, Kin Yick Mansion, No.15 Belcher's Street . Sai Wan. Hong Kong</v>
          </cell>
        </row>
        <row r="45">
          <cell r="A45" t="str">
            <v>MH2</v>
          </cell>
          <cell r="B45" t="str">
            <v>F</v>
          </cell>
          <cell r="C45" t="str">
            <v>L</v>
          </cell>
          <cell r="D45">
            <v>4</v>
          </cell>
          <cell r="E45" t="str">
            <v>card</v>
          </cell>
          <cell r="F45" t="str">
            <v>Flat B, 3/F, Diamond Building,No 6-18 Tin Lok Lane, Wanchai, Hong Kong</v>
          </cell>
        </row>
        <row r="46">
          <cell r="A46" t="str">
            <v>MH3</v>
          </cell>
          <cell r="B46" t="str">
            <v>F</v>
          </cell>
          <cell r="C46" t="str">
            <v>L</v>
          </cell>
          <cell r="D46">
            <v>4</v>
          </cell>
          <cell r="E46" t="str">
            <v>R2328</v>
          </cell>
          <cell r="F46" t="str">
            <v>Flat A, 9/F, Sun Tao Building, 12-18 Morrison Hill Road, Hong Kong</v>
          </cell>
        </row>
        <row r="47">
          <cell r="A47" t="str">
            <v>MK1</v>
          </cell>
          <cell r="B47" t="str">
            <v>F</v>
          </cell>
          <cell r="C47" t="str">
            <v>L</v>
          </cell>
          <cell r="D47">
            <v>5</v>
          </cell>
          <cell r="F47" t="str">
            <v>7/F, Sun Fai Building, No.48-50  Argyle Street, Mong Kok, Kowloon</v>
          </cell>
        </row>
        <row r="48">
          <cell r="A48" t="str">
            <v>ML1</v>
          </cell>
          <cell r="B48" t="str">
            <v>F</v>
          </cell>
          <cell r="C48" t="str">
            <v>L</v>
          </cell>
          <cell r="D48">
            <v>5</v>
          </cell>
          <cell r="E48" t="str">
            <v>8246#</v>
          </cell>
          <cell r="F48" t="str">
            <v>11/F, East Sun Mansion, No.41A Robinson Road, Central. Hong Kong</v>
          </cell>
        </row>
        <row r="49">
          <cell r="A49" t="str">
            <v>ML2</v>
          </cell>
          <cell r="B49" t="str">
            <v>F</v>
          </cell>
          <cell r="C49" t="str">
            <v>W</v>
          </cell>
          <cell r="D49">
            <v>3</v>
          </cell>
          <cell r="F49" t="str">
            <v>Flat A, 5/F, Merlin Building, No.30-34 Cochrane Street, Central. Hong Kong</v>
          </cell>
        </row>
        <row r="50">
          <cell r="A50" t="str">
            <v>ML3</v>
          </cell>
          <cell r="B50" t="str">
            <v>F</v>
          </cell>
          <cell r="C50" t="str">
            <v>W</v>
          </cell>
          <cell r="D50">
            <v>8</v>
          </cell>
          <cell r="E50" t="str">
            <v>8787#</v>
          </cell>
          <cell r="F50" t="str">
            <v>3/F, No.87 Caine Road, Central. Hong Kong</v>
          </cell>
        </row>
        <row r="53">
          <cell r="A53" t="str">
            <v>ML4</v>
          </cell>
          <cell r="B53" t="str">
            <v>S</v>
          </cell>
          <cell r="C53" t="str">
            <v>W</v>
          </cell>
          <cell r="D53">
            <v>1</v>
          </cell>
          <cell r="F53" t="str">
            <v>Flat B, 5/F, Shun King Building, No.7-9 Gough Street, Central. Hong Kong</v>
          </cell>
        </row>
        <row r="54">
          <cell r="A54" t="str">
            <v>ML6</v>
          </cell>
          <cell r="B54" t="str">
            <v>F</v>
          </cell>
          <cell r="C54" t="str">
            <v>W</v>
          </cell>
          <cell r="D54">
            <v>4</v>
          </cell>
          <cell r="E54">
            <v>2830</v>
          </cell>
          <cell r="F54" t="str">
            <v>Flat A, 2/F, No.30 Graham Street, Central. Hong Kong</v>
          </cell>
        </row>
        <row r="55">
          <cell r="A55" t="str">
            <v>ML7</v>
          </cell>
          <cell r="B55" t="str">
            <v>F</v>
          </cell>
          <cell r="C55" t="str">
            <v>W</v>
          </cell>
          <cell r="D55">
            <v>4</v>
          </cell>
          <cell r="E55" t="str">
            <v>R3883</v>
          </cell>
          <cell r="F55" t="str">
            <v>Flat A, 3/F, No.10 Prince's Terrace, Central. Hong Kong</v>
          </cell>
        </row>
        <row r="57">
          <cell r="A57" t="str">
            <v>ML8</v>
          </cell>
          <cell r="B57" t="str">
            <v>F</v>
          </cell>
          <cell r="C57" t="str">
            <v>W</v>
          </cell>
          <cell r="D57">
            <v>4</v>
          </cell>
          <cell r="F57" t="str">
            <v>3/F, 20 D'Aguilar Street, Central. Hong Kong</v>
          </cell>
        </row>
        <row r="58">
          <cell r="A58" t="str">
            <v>ML9</v>
          </cell>
          <cell r="B58" t="str">
            <v>F</v>
          </cell>
          <cell r="C58" t="str">
            <v>W</v>
          </cell>
          <cell r="D58">
            <v>5</v>
          </cell>
          <cell r="F58" t="str">
            <v>2/F, 20 D'Aguilar Street, Central. Hong Kong</v>
          </cell>
        </row>
        <row r="59">
          <cell r="A59" t="str">
            <v>ML11</v>
          </cell>
          <cell r="B59" t="str">
            <v>F</v>
          </cell>
          <cell r="C59" t="str">
            <v>W</v>
          </cell>
          <cell r="D59">
            <v>3</v>
          </cell>
          <cell r="E59">
            <v>1628</v>
          </cell>
          <cell r="F59" t="str">
            <v>Flat B, 1/F, No.11-13 Old Bailey Street, Central. Hong Kong</v>
          </cell>
        </row>
        <row r="60">
          <cell r="A60" t="str">
            <v>ML12</v>
          </cell>
          <cell r="B60" t="str">
            <v>F</v>
          </cell>
          <cell r="C60" t="str">
            <v>L</v>
          </cell>
          <cell r="D60">
            <v>4</v>
          </cell>
          <cell r="E60" t="str">
            <v>card</v>
          </cell>
          <cell r="F60" t="str">
            <v>Flat A, 2/F, Caineway Mansion, No.130 Caine Road, Central. Hong Kong</v>
          </cell>
        </row>
        <row r="61">
          <cell r="A61" t="str">
            <v>ML13</v>
          </cell>
          <cell r="B61" t="str">
            <v>F</v>
          </cell>
          <cell r="C61" t="str">
            <v>W</v>
          </cell>
          <cell r="D61">
            <v>3</v>
          </cell>
          <cell r="E61">
            <v>2830</v>
          </cell>
          <cell r="F61" t="str">
            <v>Flat A, 3/F, No.28 Graham Street, Central. Hong Kong</v>
          </cell>
        </row>
        <row r="62">
          <cell r="A62" t="str">
            <v>ML15</v>
          </cell>
          <cell r="B62" t="str">
            <v>F</v>
          </cell>
          <cell r="C62" t="str">
            <v>W</v>
          </cell>
          <cell r="D62">
            <v>5</v>
          </cell>
          <cell r="F62" t="str">
            <v>4/F, 20A D'Aguilar Street, Central, Hong Kong</v>
          </cell>
        </row>
        <row r="63">
          <cell r="A63" t="str">
            <v>ML16</v>
          </cell>
          <cell r="B63" t="str">
            <v>F</v>
          </cell>
          <cell r="C63" t="str">
            <v>W</v>
          </cell>
          <cell r="D63">
            <v>5</v>
          </cell>
          <cell r="F63" t="str">
            <v>2/F, No. 2J Mosque Junction, Central, Hong Kong</v>
          </cell>
        </row>
        <row r="64">
          <cell r="A64" t="str">
            <v>ML17</v>
          </cell>
          <cell r="B64" t="str">
            <v>F</v>
          </cell>
          <cell r="C64" t="str">
            <v>W</v>
          </cell>
          <cell r="D64">
            <v>4</v>
          </cell>
          <cell r="E64">
            <v>9705</v>
          </cell>
          <cell r="F64" t="str">
            <v>Flat D, G/F, Feng Fong Building, 73 Caine Road, Central, Hong Kong</v>
          </cell>
        </row>
        <row r="65">
          <cell r="A65" t="str">
            <v>ML18</v>
          </cell>
          <cell r="B65" t="str">
            <v>F</v>
          </cell>
          <cell r="C65" t="str">
            <v>L</v>
          </cell>
          <cell r="D65">
            <v>4</v>
          </cell>
          <cell r="E65" t="str">
            <v>R8317</v>
          </cell>
          <cell r="F65" t="str">
            <v>Flat 1203 on 9/F, Kin Yuen Mansion, No. 139 Caine Road, Central, Hong Kong</v>
          </cell>
        </row>
        <row r="66">
          <cell r="A66" t="str">
            <v>ML19</v>
          </cell>
          <cell r="B66" t="str">
            <v>F</v>
          </cell>
          <cell r="C66" t="str">
            <v>W</v>
          </cell>
          <cell r="D66">
            <v>3</v>
          </cell>
          <cell r="E66">
            <v>2580</v>
          </cell>
          <cell r="F66" t="str">
            <v>2nd Floor on Block C, 17-21 Gough Street, Hong Kong</v>
          </cell>
        </row>
        <row r="67">
          <cell r="A67" t="str">
            <v>ML20</v>
          </cell>
          <cell r="B67" t="str">
            <v>F</v>
          </cell>
          <cell r="C67" t="str">
            <v>W</v>
          </cell>
          <cell r="D67">
            <v>3</v>
          </cell>
          <cell r="F67" t="str">
            <v>3/F, 91 Wellington Street, Hong Kong</v>
          </cell>
        </row>
        <row r="68">
          <cell r="A68" t="str">
            <v>N1</v>
          </cell>
          <cell r="B68" t="str">
            <v>F</v>
          </cell>
          <cell r="C68" t="str">
            <v>L</v>
          </cell>
          <cell r="D68">
            <v>4</v>
          </cell>
          <cell r="E68" t="str">
            <v>R3598</v>
          </cell>
          <cell r="F68" t="str">
            <v>Flat A8, 2/F, Kam Ping Mansion, 63-69 Kam Ping Road, North Point, Hong Kong</v>
          </cell>
        </row>
        <row r="69">
          <cell r="A69" t="str">
            <v>N2</v>
          </cell>
          <cell r="B69" t="str">
            <v>F</v>
          </cell>
          <cell r="C69" t="str">
            <v>L</v>
          </cell>
          <cell r="D69">
            <v>4</v>
          </cell>
          <cell r="E69" t="str">
            <v>R3598</v>
          </cell>
          <cell r="F69" t="str">
            <v>Flat A1, 1/F, Kam Ping Mansion, 63-69 Kam Ping Road, North Point, Hong Kong</v>
          </cell>
        </row>
        <row r="70">
          <cell r="A70" t="str">
            <v>N3</v>
          </cell>
          <cell r="B70" t="str">
            <v>F</v>
          </cell>
          <cell r="C70" t="str">
            <v>W</v>
          </cell>
          <cell r="D70">
            <v>5</v>
          </cell>
          <cell r="F70" t="str">
            <v>3/F, 35 Ming Yuen Western Street, North Point, Hong Kong</v>
          </cell>
        </row>
        <row r="71">
          <cell r="A71" t="str">
            <v>N4</v>
          </cell>
          <cell r="B71" t="str">
            <v>F</v>
          </cell>
          <cell r="C71" t="str">
            <v>W</v>
          </cell>
          <cell r="D71">
            <v>5</v>
          </cell>
          <cell r="F71" t="str">
            <v>1/F, 35 Ming Yuen Western Street, North Point, Hong Kong</v>
          </cell>
        </row>
        <row r="73">
          <cell r="A73" t="str">
            <v>N5</v>
          </cell>
          <cell r="B73" t="str">
            <v>F</v>
          </cell>
          <cell r="C73" t="str">
            <v>W</v>
          </cell>
          <cell r="D73">
            <v>5</v>
          </cell>
          <cell r="F73" t="str">
            <v>1/F, 39 Ming Yuen Western Street, North Point, Hong Kong</v>
          </cell>
        </row>
        <row r="75">
          <cell r="A75" t="str">
            <v>N6</v>
          </cell>
          <cell r="B75" t="str">
            <v>F</v>
          </cell>
          <cell r="C75" t="str">
            <v>W</v>
          </cell>
          <cell r="D75">
            <v>5</v>
          </cell>
          <cell r="F75" t="str">
            <v>2/F, 37 Ming Yuen Western Street, North Point, Hong Kong</v>
          </cell>
        </row>
        <row r="77">
          <cell r="A77" t="str">
            <v>PE1</v>
          </cell>
          <cell r="B77" t="str">
            <v>F</v>
          </cell>
          <cell r="C77" t="str">
            <v>L</v>
          </cell>
          <cell r="D77">
            <v>5</v>
          </cell>
          <cell r="F77" t="str">
            <v>Flat C, 2/F, Gardenview Building, 197-209 Sai Yeung Choi Street North, Kowloon</v>
          </cell>
        </row>
        <row r="79">
          <cell r="A79" t="str">
            <v>PE2</v>
          </cell>
          <cell r="B79" t="str">
            <v>S</v>
          </cell>
          <cell r="C79" t="str">
            <v>L</v>
          </cell>
          <cell r="D79">
            <v>6</v>
          </cell>
          <cell r="E79" t="str">
            <v>R2038</v>
          </cell>
          <cell r="F79" t="str">
            <v>5/F, Tsung Nga Building, 34-36 Cheung Sha Wan Road. Sham Shui Po. Kowloon</v>
          </cell>
        </row>
        <row r="81">
          <cell r="A81" t="str">
            <v>Q1</v>
          </cell>
          <cell r="B81" t="str">
            <v>5S/3F</v>
          </cell>
          <cell r="C81" t="str">
            <v>L</v>
          </cell>
          <cell r="D81">
            <v>8</v>
          </cell>
          <cell r="E81">
            <v>3650</v>
          </cell>
          <cell r="F81" t="str">
            <v>8th Floor, Block D-1, Ritz Garden Apartments, No. 937 King's Road, Hong Kong</v>
          </cell>
        </row>
        <row r="83">
          <cell r="A83" t="str">
            <v>S1</v>
          </cell>
          <cell r="B83" t="str">
            <v>F</v>
          </cell>
          <cell r="C83" t="str">
            <v>L/W 20樓梯</v>
          </cell>
          <cell r="D83">
            <v>3</v>
          </cell>
          <cell r="F83" t="str">
            <v>Flat B, 6/F, Lap Poon Building, No.123 Connaught Road West, Sai Ying Poon .Hong Kong</v>
          </cell>
        </row>
        <row r="84">
          <cell r="A84" t="str">
            <v>S2</v>
          </cell>
          <cell r="B84" t="str">
            <v>F</v>
          </cell>
          <cell r="C84" t="str">
            <v>L</v>
          </cell>
          <cell r="D84">
            <v>5</v>
          </cell>
          <cell r="F84" t="str">
            <v>6/F, No.120 Des Voeux Road West. Sai Ying Poon. Hong Kong</v>
          </cell>
        </row>
        <row r="85">
          <cell r="A85" t="str">
            <v>S3</v>
          </cell>
          <cell r="B85" t="str">
            <v>F</v>
          </cell>
          <cell r="C85" t="str">
            <v>L</v>
          </cell>
          <cell r="D85">
            <v>5</v>
          </cell>
          <cell r="E85" t="str">
            <v>R9851</v>
          </cell>
          <cell r="F85" t="str">
            <v>Flat D, 5/F, Tak Tung House, 155-161 Des Voeux Road West, 1D &amp; 1E Eastern Street, Hong Kong</v>
          </cell>
        </row>
        <row r="86">
          <cell r="A86" t="str">
            <v>SP1</v>
          </cell>
          <cell r="B86" t="str">
            <v>F</v>
          </cell>
          <cell r="C86" t="str">
            <v>W</v>
          </cell>
          <cell r="D86">
            <v>5</v>
          </cell>
          <cell r="F86" t="str">
            <v>1/F, No.278A Tai Nan Street, Shum Shui Po, Kowloon</v>
          </cell>
        </row>
        <row r="88">
          <cell r="A88" t="str">
            <v>SP2</v>
          </cell>
          <cell r="B88" t="str">
            <v>F</v>
          </cell>
          <cell r="C88" t="str">
            <v>L</v>
          </cell>
          <cell r="D88">
            <v>4</v>
          </cell>
          <cell r="E88" t="str">
            <v>R3925</v>
          </cell>
          <cell r="F88" t="str">
            <v>Flat B, 5/F, Kam Wah Mansion, 226-242 Cheung Sha Wan Road, Sham Shui Po. Kowloon</v>
          </cell>
        </row>
        <row r="90">
          <cell r="A90" t="str">
            <v>ST1</v>
          </cell>
          <cell r="B90" t="str">
            <v>F</v>
          </cell>
          <cell r="C90" t="str">
            <v>L</v>
          </cell>
          <cell r="D90">
            <v>5</v>
          </cell>
          <cell r="E90">
            <v>2546</v>
          </cell>
          <cell r="F90" t="str">
            <v>Flat A, 8/F Kam Ling Court, No.10-20 Witty Street. Shek Tong Tsui. Hong Kong</v>
          </cell>
        </row>
        <row r="91">
          <cell r="A91" t="str">
            <v>ST2</v>
          </cell>
          <cell r="B91" t="str">
            <v>F</v>
          </cell>
          <cell r="C91" t="str">
            <v>L</v>
          </cell>
          <cell r="D91">
            <v>6</v>
          </cell>
          <cell r="E91" t="str">
            <v>R4567</v>
          </cell>
          <cell r="F91" t="str">
            <v>13/F Front, 406E Des Voeux Road West. Sai Ying Poon. Hong Kong</v>
          </cell>
        </row>
        <row r="92">
          <cell r="A92" t="str">
            <v>ST3</v>
          </cell>
          <cell r="B92" t="str">
            <v>F</v>
          </cell>
          <cell r="C92" t="str">
            <v>L</v>
          </cell>
          <cell r="D92">
            <v>10</v>
          </cell>
          <cell r="E92">
            <v>3578</v>
          </cell>
          <cell r="F92" t="str">
            <v>Flat R, 11/F Sun On Building, No. 490 Queen's Road West. Shek Tong Tsui. Hong Kong</v>
          </cell>
        </row>
        <row r="94">
          <cell r="A94" t="str">
            <v>SW1</v>
          </cell>
          <cell r="B94" t="str">
            <v>F</v>
          </cell>
          <cell r="C94" t="str">
            <v>W</v>
          </cell>
          <cell r="D94">
            <v>3</v>
          </cell>
          <cell r="F94" t="str">
            <v>3/F, 78 Wing Lok Street, Sheung Wan. Hong Kong</v>
          </cell>
        </row>
        <row r="95">
          <cell r="A95" t="str">
            <v>SW2</v>
          </cell>
          <cell r="B95" t="str">
            <v>F</v>
          </cell>
          <cell r="C95" t="str">
            <v>W</v>
          </cell>
          <cell r="D95">
            <v>3</v>
          </cell>
          <cell r="F95" t="str">
            <v>5/F, 78 Wing Lok Street, Sheung Wan. Hong Kong</v>
          </cell>
        </row>
        <row r="96">
          <cell r="A96" t="str">
            <v>SW3</v>
          </cell>
          <cell r="B96" t="str">
            <v>F</v>
          </cell>
          <cell r="C96" t="str">
            <v>W</v>
          </cell>
          <cell r="D96">
            <v>4</v>
          </cell>
          <cell r="F96" t="str">
            <v>1/F, 98 Bonham Strand, Sheung Wan. Hong Kong</v>
          </cell>
        </row>
        <row r="97">
          <cell r="A97" t="str">
            <v>SW4</v>
          </cell>
          <cell r="B97" t="str">
            <v>F</v>
          </cell>
          <cell r="C97" t="str">
            <v>W</v>
          </cell>
          <cell r="D97">
            <v>3</v>
          </cell>
          <cell r="F97" t="str">
            <v>Flat B, 4/F, 136 Wing Lok Street, Sheung Wan, Hong Kong</v>
          </cell>
        </row>
        <row r="98">
          <cell r="A98" t="str">
            <v>SW6</v>
          </cell>
          <cell r="B98" t="str">
            <v>F</v>
          </cell>
          <cell r="C98" t="str">
            <v>L</v>
          </cell>
          <cell r="D98">
            <v>3</v>
          </cell>
          <cell r="E98" t="str">
            <v>R2069</v>
          </cell>
          <cell r="F98" t="str">
            <v>Flat A, 16/F, Ka Fung Bldg, No.23-25 Bonham Strand West, Sheung Wan. Hong Kong</v>
          </cell>
        </row>
        <row r="99">
          <cell r="A99" t="str">
            <v>SW7</v>
          </cell>
          <cell r="B99" t="str">
            <v>F</v>
          </cell>
          <cell r="C99" t="str">
            <v>L</v>
          </cell>
          <cell r="D99">
            <v>4</v>
          </cell>
          <cell r="E99" t="str">
            <v>R1388</v>
          </cell>
          <cell r="F99" t="str">
            <v>Flat B 10/F, Hang Fat Bldg, No.138 Wing Lok Street, Sheung Wan, Hong Kong</v>
          </cell>
        </row>
        <row r="100">
          <cell r="A100" t="str">
            <v>SW8</v>
          </cell>
          <cell r="B100" t="str">
            <v>F</v>
          </cell>
          <cell r="C100" t="str">
            <v>W</v>
          </cell>
          <cell r="D100">
            <v>5</v>
          </cell>
          <cell r="E100" t="str">
            <v>2460#</v>
          </cell>
          <cell r="F100" t="str">
            <v>5/F&amp; Roof, No.13-15 Queen's Road West, Sheung Wan. Hong Kong</v>
          </cell>
        </row>
        <row r="101">
          <cell r="A101" t="str">
            <v>SW9</v>
          </cell>
          <cell r="B101" t="str">
            <v>F</v>
          </cell>
          <cell r="C101" t="str">
            <v>L</v>
          </cell>
          <cell r="D101">
            <v>4</v>
          </cell>
          <cell r="E101" t="str">
            <v>R1678</v>
          </cell>
          <cell r="F101" t="str">
            <v>Flat A, 14/F, Tai Fat Building, 37 Ko Shing Street, Sheung Wan. Hong Kong</v>
          </cell>
        </row>
        <row r="102">
          <cell r="A102" t="str">
            <v>SW10</v>
          </cell>
          <cell r="B102" t="str">
            <v>F</v>
          </cell>
          <cell r="C102" t="str">
            <v>L</v>
          </cell>
          <cell r="D102">
            <v>4</v>
          </cell>
          <cell r="E102">
            <v>9763</v>
          </cell>
          <cell r="F102" t="str">
            <v>Flat A, 6/F, Ka On Building, No.8-14 Connaught Road West, Sheung Wan. Hong Kong</v>
          </cell>
        </row>
        <row r="103">
          <cell r="A103" t="str">
            <v>SW11</v>
          </cell>
          <cell r="B103" t="str">
            <v>F</v>
          </cell>
          <cell r="C103" t="str">
            <v>W</v>
          </cell>
          <cell r="D103">
            <v>4</v>
          </cell>
          <cell r="F103" t="str">
            <v>3/F, No 98 Bonham Strand, Sheung Wan, Hong Kong</v>
          </cell>
        </row>
        <row r="104">
          <cell r="A104" t="str">
            <v>SW12</v>
          </cell>
          <cell r="B104" t="str">
            <v>F</v>
          </cell>
          <cell r="C104" t="str">
            <v>L</v>
          </cell>
          <cell r="D104">
            <v>4</v>
          </cell>
          <cell r="E104" t="str">
            <v>#6789</v>
          </cell>
          <cell r="F104" t="str">
            <v>Flat 2, 2/F, Tai Shing Building, No.43-47 Bonham Strand West, Sheung Wan. Hong Kong</v>
          </cell>
        </row>
        <row r="105">
          <cell r="A105" t="str">
            <v>SW13</v>
          </cell>
          <cell r="B105" t="str">
            <v>F</v>
          </cell>
          <cell r="C105" t="str">
            <v>L</v>
          </cell>
          <cell r="D105">
            <v>5</v>
          </cell>
          <cell r="E105">
            <v>1386</v>
          </cell>
          <cell r="F105" t="str">
            <v>Flat H, 19/F, Lascar Court, No.3 Lok Ku Road, Sheung Wan. Hong Kong</v>
          </cell>
        </row>
        <row r="106">
          <cell r="A106" t="str">
            <v>SW15</v>
          </cell>
          <cell r="B106" t="str">
            <v>F</v>
          </cell>
          <cell r="C106" t="str">
            <v>L</v>
          </cell>
          <cell r="D106">
            <v>4</v>
          </cell>
          <cell r="E106" t="str">
            <v>R3878</v>
          </cell>
          <cell r="F106" t="str">
            <v>Flat B3, 6/F, Block B, Hongway Garden, 8 New Market Street, Sheung Wan. Hong Kong</v>
          </cell>
        </row>
        <row r="107">
          <cell r="A107" t="str">
            <v>SW16</v>
          </cell>
          <cell r="B107" t="str">
            <v>F</v>
          </cell>
          <cell r="C107" t="str">
            <v>L</v>
          </cell>
          <cell r="D107">
            <v>5</v>
          </cell>
          <cell r="E107" t="str">
            <v>R5630</v>
          </cell>
          <cell r="F107" t="str">
            <v>Flat A on 5th Floor, Harmony Court, No. 127 Bonham Strand, Sheung Wan, Hong Kong</v>
          </cell>
        </row>
        <row r="108">
          <cell r="A108" t="str">
            <v>SW17</v>
          </cell>
          <cell r="B108" t="str">
            <v>F</v>
          </cell>
          <cell r="C108" t="str">
            <v>L</v>
          </cell>
          <cell r="D108">
            <v>4</v>
          </cell>
          <cell r="F108" t="str">
            <v>Flat E, 2/F, Sun Shing Mansion, No. 31 Queen's Road West, Sheung Wan, H.K.</v>
          </cell>
        </row>
        <row r="109">
          <cell r="A109" t="str">
            <v>T1</v>
          </cell>
          <cell r="B109" t="str">
            <v>F</v>
          </cell>
          <cell r="C109" t="str">
            <v>L</v>
          </cell>
          <cell r="D109">
            <v>3</v>
          </cell>
          <cell r="F109" t="str">
            <v>6/F, No.47 Haiphong Road, Tsim Sha Tsui. Kowloon</v>
          </cell>
        </row>
        <row r="110">
          <cell r="A110" t="str">
            <v>T4</v>
          </cell>
          <cell r="B110" t="str">
            <v>F</v>
          </cell>
          <cell r="C110" t="str">
            <v>L</v>
          </cell>
          <cell r="D110">
            <v>5</v>
          </cell>
          <cell r="F110" t="str">
            <v>Flat A1, 16/F, Tsim Sha Tsui Mansion, No.87 Nathan Road, Tsim Sha Tsui. Kowloon</v>
          </cell>
        </row>
        <row r="113">
          <cell r="A113" t="str">
            <v>T5</v>
          </cell>
          <cell r="B113" t="str">
            <v>F</v>
          </cell>
          <cell r="C113" t="str">
            <v>L</v>
          </cell>
          <cell r="D113">
            <v>6</v>
          </cell>
          <cell r="F113" t="str">
            <v>Room B, 5/F, Rose Mansion, 1 Prat Avenue, Tsim Sha Tsui. Kowloon</v>
          </cell>
        </row>
        <row r="114">
          <cell r="A114" t="str">
            <v>TH1</v>
          </cell>
          <cell r="B114" t="str">
            <v>F</v>
          </cell>
          <cell r="C114" t="str">
            <v>L</v>
          </cell>
          <cell r="D114">
            <v>5</v>
          </cell>
          <cell r="F114" t="str">
            <v>Flat A, 8/F, 107 Electric Road, Wing Hing House, Tin Hau. Hong Kong</v>
          </cell>
        </row>
        <row r="115">
          <cell r="A115" t="str">
            <v>W1</v>
          </cell>
          <cell r="B115" t="str">
            <v>F</v>
          </cell>
          <cell r="C115" t="str">
            <v>W</v>
          </cell>
          <cell r="D115">
            <v>3</v>
          </cell>
          <cell r="F115" t="str">
            <v>5/F, No.115 Thomson Road, Wan Chai. Hong Kong</v>
          </cell>
        </row>
        <row r="116">
          <cell r="A116" t="str">
            <v>W2</v>
          </cell>
          <cell r="B116" t="str">
            <v>F</v>
          </cell>
          <cell r="C116" t="str">
            <v>L</v>
          </cell>
          <cell r="D116">
            <v>3</v>
          </cell>
          <cell r="E116" t="str">
            <v>R9073</v>
          </cell>
          <cell r="F116" t="str">
            <v>Flat D, 5/F, Tung Hing Bldg, No.131 Johnston Road, Wan Chai. Hong Kong</v>
          </cell>
        </row>
        <row r="117">
          <cell r="A117" t="str">
            <v>W3</v>
          </cell>
          <cell r="B117" t="str">
            <v>F</v>
          </cell>
          <cell r="C117" t="str">
            <v>L</v>
          </cell>
          <cell r="D117">
            <v>4</v>
          </cell>
          <cell r="F117" t="str">
            <v>Flat A, 5/F, Lily Mansion, No.102-108 Lockhart Road, Wan Chai. Hong Kong</v>
          </cell>
        </row>
        <row r="119">
          <cell r="A119" t="str">
            <v>W4</v>
          </cell>
          <cell r="B119" t="str">
            <v>F</v>
          </cell>
          <cell r="C119" t="str">
            <v>L</v>
          </cell>
          <cell r="D119">
            <v>4</v>
          </cell>
          <cell r="F119" t="str">
            <v>Flat D, 12/F, Lily Mansion, No.102-108 Lockhart Road, Wan Chai, Hong Kong</v>
          </cell>
        </row>
        <row r="120">
          <cell r="A120" t="str">
            <v>W5</v>
          </cell>
          <cell r="B120" t="str">
            <v>F</v>
          </cell>
          <cell r="C120" t="str">
            <v>L</v>
          </cell>
          <cell r="D120">
            <v>4</v>
          </cell>
          <cell r="F120" t="str">
            <v>Flat F, 2/F, Cheong Hong Mansion, No.25-33 Johnston Road, Wan Chai. Hong Kong</v>
          </cell>
        </row>
        <row r="121">
          <cell r="A121" t="str">
            <v>W6</v>
          </cell>
          <cell r="B121" t="str">
            <v>S</v>
          </cell>
          <cell r="C121" t="str">
            <v>L</v>
          </cell>
          <cell r="D121">
            <v>5</v>
          </cell>
          <cell r="F121" t="str">
            <v>Flat G, 6/F, Cheong Hong Mansion, No.25-33 Johnston Road, Wan Chai. Hong Kong</v>
          </cell>
        </row>
        <row r="123">
          <cell r="A123" t="str">
            <v>W6a</v>
          </cell>
        </row>
        <row r="124">
          <cell r="A124" t="str">
            <v>W6e</v>
          </cell>
        </row>
        <row r="125">
          <cell r="A125" t="str">
            <v>W8</v>
          </cell>
          <cell r="B125" t="str">
            <v>F</v>
          </cell>
          <cell r="C125" t="str">
            <v>L</v>
          </cell>
          <cell r="D125">
            <v>3</v>
          </cell>
          <cell r="F125" t="str">
            <v>Flat A, 12/F, Lily Mansion, No.102-108 Lockhart Road, Wan Chai. Hong Kong</v>
          </cell>
        </row>
        <row r="126">
          <cell r="A126" t="str">
            <v>W9</v>
          </cell>
          <cell r="B126" t="str">
            <v>3F/1S</v>
          </cell>
          <cell r="C126" t="str">
            <v>L</v>
          </cell>
          <cell r="D126">
            <v>4</v>
          </cell>
          <cell r="F126" t="str">
            <v>Flat B, 8/F, Jade House, 210-214 Hennesy Road, Wanchai, Hong Kong</v>
          </cell>
        </row>
        <row r="127">
          <cell r="A127" t="str">
            <v>Y1</v>
          </cell>
          <cell r="B127" t="str">
            <v>F</v>
          </cell>
          <cell r="C127" t="str">
            <v>L</v>
          </cell>
          <cell r="D127">
            <v>3</v>
          </cell>
          <cell r="F127" t="str">
            <v>Room 16, 13/F, Bell House, No.525-543 Nathan Road, Yau Ma Tei. Kowloon</v>
          </cell>
        </row>
        <row r="128">
          <cell r="A128" t="str">
            <v>Y2</v>
          </cell>
          <cell r="B128" t="str">
            <v>F</v>
          </cell>
          <cell r="C128" t="str">
            <v>L</v>
          </cell>
          <cell r="D128">
            <v>8</v>
          </cell>
          <cell r="E128" t="str">
            <v>R2513</v>
          </cell>
          <cell r="F128" t="str">
            <v>482, 3/F, Hung Hsing Building, No.482-484 Nathan Road, Yau Ma Tei. Kowloon</v>
          </cell>
        </row>
        <row r="130">
          <cell r="A130" t="str">
            <v>Y7</v>
          </cell>
          <cell r="B130" t="str">
            <v>F</v>
          </cell>
          <cell r="C130" t="str">
            <v>L</v>
          </cell>
          <cell r="D130">
            <v>4</v>
          </cell>
          <cell r="F130" t="str">
            <v>Flat A, 5/F, Lai To Building, No.364-368 Shanghai Street, Yau Ma Tei. Kowloon</v>
          </cell>
        </row>
        <row r="131">
          <cell r="A131" t="str">
            <v>y8</v>
          </cell>
          <cell r="B131" t="str">
            <v>F</v>
          </cell>
          <cell r="C131" t="str">
            <v>W</v>
          </cell>
          <cell r="D131">
            <v>8</v>
          </cell>
          <cell r="F131" t="str">
            <v>5/F, No.21 Waterloo Road, Yau Ma Tei. Kowloon</v>
          </cell>
        </row>
        <row r="133">
          <cell r="A133" t="str">
            <v>Y9</v>
          </cell>
          <cell r="B133" t="str">
            <v>S</v>
          </cell>
          <cell r="C133" t="str">
            <v>W</v>
          </cell>
          <cell r="D133">
            <v>4</v>
          </cell>
          <cell r="E133">
            <v>1268</v>
          </cell>
          <cell r="F133" t="str">
            <v>5/F, Wing Wah Building, No.33-39A Pitt Street, Yau Ma Tei. Kowloon</v>
          </cell>
        </row>
        <row r="137">
          <cell r="A137" t="str">
            <v>Y10</v>
          </cell>
          <cell r="B137" t="str">
            <v>S</v>
          </cell>
          <cell r="C137" t="str">
            <v>W</v>
          </cell>
          <cell r="D137">
            <v>7</v>
          </cell>
          <cell r="F137" t="str">
            <v>1/F, No.26-28 Waterloo Road, Yau Ma Tei. Kowloon</v>
          </cell>
        </row>
        <row r="144">
          <cell r="A144" t="str">
            <v>Y11</v>
          </cell>
          <cell r="B144" t="str">
            <v>S</v>
          </cell>
          <cell r="C144" t="str">
            <v>L</v>
          </cell>
          <cell r="D144">
            <v>6</v>
          </cell>
          <cell r="E144">
            <v>1256</v>
          </cell>
          <cell r="F144" t="str">
            <v>3/F, Man Tak Building, No.408 Shanghai Street. Kowloon</v>
          </cell>
        </row>
        <row r="150">
          <cell r="A150" t="str">
            <v>Y12</v>
          </cell>
          <cell r="B150" t="str">
            <v>F</v>
          </cell>
          <cell r="C150" t="str">
            <v>L</v>
          </cell>
          <cell r="D150">
            <v>4</v>
          </cell>
          <cell r="F150" t="str">
            <v>Room A, 12/F, Tsang Cheung House, 444-446A Nathan Road, Kowloon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ZZbu1sTCsLzsMSJ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BC0F-3381-45CE-B716-C91FA2A40D74}">
  <sheetPr>
    <pageSetUpPr fitToPage="1"/>
  </sheetPr>
  <dimension ref="A1:L28"/>
  <sheetViews>
    <sheetView tabSelected="1" zoomScale="41" zoomScaleNormal="41" zoomScaleSheetLayoutView="30" workbookViewId="0">
      <pane ySplit="1" topLeftCell="A2" activePane="bottomLeft" state="frozen"/>
      <selection pane="bottomLeft" activeCell="L3" sqref="L3"/>
    </sheetView>
  </sheetViews>
  <sheetFormatPr defaultColWidth="9.140625" defaultRowHeight="92.25" customHeight="1"/>
  <cols>
    <col min="1" max="1" width="10.42578125" style="23" customWidth="1"/>
    <col min="2" max="2" width="12.28515625" style="23" bestFit="1" customWidth="1"/>
    <col min="3" max="3" width="9.7109375" style="24" customWidth="1"/>
    <col min="4" max="4" width="6.85546875" style="25" customWidth="1"/>
    <col min="5" max="5" width="14.5703125" style="26" customWidth="1"/>
    <col min="6" max="6" width="111.42578125" style="27" customWidth="1"/>
    <col min="7" max="7" width="56" style="28" customWidth="1"/>
    <col min="8" max="8" width="15.42578125" style="29" customWidth="1"/>
    <col min="9" max="9" width="16.5703125" style="23" customWidth="1"/>
    <col min="10" max="10" width="11.7109375" style="23" customWidth="1"/>
    <col min="11" max="11" width="16.5703125" style="23" customWidth="1"/>
    <col min="12" max="12" width="118.5703125" style="1" customWidth="1"/>
    <col min="13" max="16384" width="9.140625" style="1"/>
  </cols>
  <sheetData>
    <row r="1" spans="1:12" s="2" customFormat="1" ht="63" customHeight="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46" t="s">
        <v>5</v>
      </c>
      <c r="G1" s="7"/>
      <c r="H1" s="45" t="s">
        <v>6</v>
      </c>
      <c r="I1" s="5" t="s">
        <v>7</v>
      </c>
      <c r="J1" s="5" t="s">
        <v>195</v>
      </c>
      <c r="K1" s="5" t="s">
        <v>193</v>
      </c>
    </row>
    <row r="2" spans="1:12" ht="42" customHeight="1">
      <c r="A2" s="8"/>
      <c r="B2" s="8"/>
      <c r="C2" s="9"/>
      <c r="D2" s="10"/>
      <c r="E2" s="11"/>
      <c r="F2" s="12"/>
      <c r="G2" s="13"/>
      <c r="H2" s="14"/>
      <c r="I2" s="8"/>
      <c r="J2" s="8"/>
      <c r="K2" s="8"/>
    </row>
    <row r="3" spans="1:12" s="3" customFormat="1" ht="84.95" customHeight="1">
      <c r="A3" s="15" t="s">
        <v>17</v>
      </c>
      <c r="B3" s="15" t="s">
        <v>10</v>
      </c>
      <c r="C3" s="15" t="s">
        <v>11</v>
      </c>
      <c r="D3" s="16">
        <v>4</v>
      </c>
      <c r="E3" s="17" t="s">
        <v>9</v>
      </c>
      <c r="F3" s="18" t="s">
        <v>200</v>
      </c>
      <c r="G3" s="19" t="s">
        <v>154</v>
      </c>
      <c r="H3" s="20" t="s">
        <v>171</v>
      </c>
      <c r="I3" s="15" t="s">
        <v>18</v>
      </c>
      <c r="J3" s="15"/>
      <c r="K3" s="15"/>
      <c r="L3" s="54" t="s">
        <v>201</v>
      </c>
    </row>
    <row r="4" spans="1:12" s="3" customFormat="1" ht="84.95" customHeight="1">
      <c r="A4" s="15" t="s">
        <v>19</v>
      </c>
      <c r="B4" s="15" t="s">
        <v>10</v>
      </c>
      <c r="C4" s="15" t="s">
        <v>11</v>
      </c>
      <c r="D4" s="16">
        <v>5</v>
      </c>
      <c r="E4" s="17" t="s">
        <v>187</v>
      </c>
      <c r="F4" s="18" t="s">
        <v>202</v>
      </c>
      <c r="G4" s="19" t="s">
        <v>155</v>
      </c>
      <c r="H4" s="20" t="s">
        <v>20</v>
      </c>
      <c r="I4" s="15"/>
      <c r="J4" s="15"/>
      <c r="K4" s="15"/>
      <c r="L4" s="3" t="s">
        <v>203</v>
      </c>
    </row>
    <row r="5" spans="1:12" s="3" customFormat="1" ht="84.95" customHeight="1">
      <c r="A5" s="15" t="s">
        <v>21</v>
      </c>
      <c r="B5" s="15" t="s">
        <v>10</v>
      </c>
      <c r="C5" s="15" t="s">
        <v>11</v>
      </c>
      <c r="D5" s="16">
        <v>5</v>
      </c>
      <c r="E5" s="17" t="s">
        <v>199</v>
      </c>
      <c r="F5" s="18" t="s">
        <v>22</v>
      </c>
      <c r="G5" s="19" t="s">
        <v>23</v>
      </c>
      <c r="H5" s="20" t="s">
        <v>172</v>
      </c>
      <c r="I5" s="15" t="s">
        <v>24</v>
      </c>
      <c r="J5" s="15"/>
      <c r="K5" s="15"/>
    </row>
    <row r="6" spans="1:12" s="3" customFormat="1" ht="84.95" customHeight="1">
      <c r="A6" s="15" t="s">
        <v>31</v>
      </c>
      <c r="B6" s="15" t="s">
        <v>27</v>
      </c>
      <c r="C6" s="15" t="s">
        <v>11</v>
      </c>
      <c r="D6" s="16">
        <v>4</v>
      </c>
      <c r="E6" s="17" t="s">
        <v>32</v>
      </c>
      <c r="F6" s="18" t="s">
        <v>33</v>
      </c>
      <c r="G6" s="19" t="s">
        <v>34</v>
      </c>
      <c r="H6" s="20"/>
      <c r="I6" s="15" t="s">
        <v>35</v>
      </c>
      <c r="J6" s="15"/>
      <c r="K6" s="15"/>
    </row>
    <row r="7" spans="1:12" s="3" customFormat="1" ht="84.95" customHeight="1">
      <c r="A7" s="15" t="s">
        <v>39</v>
      </c>
      <c r="B7" s="15" t="s">
        <v>40</v>
      </c>
      <c r="C7" s="15" t="s">
        <v>41</v>
      </c>
      <c r="D7" s="16">
        <v>6</v>
      </c>
      <c r="E7" s="17" t="s">
        <v>42</v>
      </c>
      <c r="F7" s="18" t="s">
        <v>43</v>
      </c>
      <c r="G7" s="19" t="s">
        <v>156</v>
      </c>
      <c r="H7" s="20"/>
      <c r="I7" s="15" t="s">
        <v>24</v>
      </c>
      <c r="J7" s="15"/>
      <c r="K7" s="15"/>
      <c r="L7" s="43" t="s">
        <v>185</v>
      </c>
    </row>
    <row r="8" spans="1:12" s="3" customFormat="1" ht="84.95" customHeight="1">
      <c r="A8" s="15" t="s">
        <v>47</v>
      </c>
      <c r="B8" s="15" t="s">
        <v>40</v>
      </c>
      <c r="C8" s="15" t="s">
        <v>41</v>
      </c>
      <c r="D8" s="16">
        <v>4</v>
      </c>
      <c r="E8" s="17" t="s">
        <v>194</v>
      </c>
      <c r="F8" s="18" t="s">
        <v>48</v>
      </c>
      <c r="G8" s="19" t="s">
        <v>49</v>
      </c>
      <c r="H8" s="20" t="s">
        <v>173</v>
      </c>
      <c r="I8" s="15"/>
      <c r="J8" s="15"/>
      <c r="K8" s="52" t="s">
        <v>192</v>
      </c>
    </row>
    <row r="9" spans="1:12" s="3" customFormat="1" ht="84.95" customHeight="1">
      <c r="A9" s="15" t="s">
        <v>50</v>
      </c>
      <c r="B9" s="15" t="s">
        <v>10</v>
      </c>
      <c r="C9" s="15" t="s">
        <v>11</v>
      </c>
      <c r="D9" s="16">
        <v>5</v>
      </c>
      <c r="E9" s="17" t="s">
        <v>187</v>
      </c>
      <c r="F9" s="18" t="s">
        <v>51</v>
      </c>
      <c r="G9" s="19" t="s">
        <v>52</v>
      </c>
      <c r="H9" s="20"/>
      <c r="I9" s="15" t="s">
        <v>53</v>
      </c>
      <c r="J9" s="15"/>
      <c r="K9" s="15"/>
    </row>
    <row r="10" spans="1:12" s="3" customFormat="1" ht="84.95" customHeight="1">
      <c r="A10" s="15" t="s">
        <v>72</v>
      </c>
      <c r="B10" s="15" t="s">
        <v>10</v>
      </c>
      <c r="C10" s="15" t="s">
        <v>14</v>
      </c>
      <c r="D10" s="16">
        <v>5</v>
      </c>
      <c r="E10" s="17" t="s">
        <v>187</v>
      </c>
      <c r="F10" s="18" t="s">
        <v>73</v>
      </c>
      <c r="G10" s="19" t="s">
        <v>74</v>
      </c>
      <c r="H10" s="20"/>
      <c r="I10" s="15" t="s">
        <v>65</v>
      </c>
      <c r="J10" s="15"/>
      <c r="K10" s="15"/>
    </row>
    <row r="11" spans="1:12" s="3" customFormat="1" ht="84.95" customHeight="1">
      <c r="A11" s="15" t="s">
        <v>75</v>
      </c>
      <c r="B11" s="15" t="s">
        <v>76</v>
      </c>
      <c r="C11" s="15" t="s">
        <v>45</v>
      </c>
      <c r="D11" s="16">
        <v>4</v>
      </c>
      <c r="E11" s="17" t="s">
        <v>77</v>
      </c>
      <c r="F11" s="18" t="s">
        <v>182</v>
      </c>
      <c r="G11" s="19" t="s">
        <v>158</v>
      </c>
      <c r="H11" s="20"/>
      <c r="I11" s="15" t="s">
        <v>78</v>
      </c>
      <c r="J11" s="15"/>
      <c r="K11" s="52" t="s">
        <v>192</v>
      </c>
    </row>
    <row r="12" spans="1:12" s="3" customFormat="1" ht="84.95" customHeight="1">
      <c r="A12" s="15" t="s">
        <v>85</v>
      </c>
      <c r="B12" s="15" t="s">
        <v>86</v>
      </c>
      <c r="C12" s="15" t="s">
        <v>11</v>
      </c>
      <c r="D12" s="16">
        <v>4</v>
      </c>
      <c r="E12" s="17" t="s">
        <v>87</v>
      </c>
      <c r="F12" s="18" t="s">
        <v>88</v>
      </c>
      <c r="G12" s="19" t="s">
        <v>159</v>
      </c>
      <c r="H12" s="20"/>
      <c r="I12" s="15" t="s">
        <v>78</v>
      </c>
      <c r="J12" s="15"/>
      <c r="K12" s="15"/>
    </row>
    <row r="13" spans="1:12" s="3" customFormat="1" ht="84.95" customHeight="1">
      <c r="A13" s="15" t="s">
        <v>93</v>
      </c>
      <c r="B13" s="15" t="s">
        <v>40</v>
      </c>
      <c r="C13" s="15" t="s">
        <v>28</v>
      </c>
      <c r="D13" s="16">
        <v>6</v>
      </c>
      <c r="E13" s="17" t="s">
        <v>187</v>
      </c>
      <c r="F13" s="18" t="s">
        <v>94</v>
      </c>
      <c r="G13" s="19" t="s">
        <v>168</v>
      </c>
      <c r="H13" s="20"/>
      <c r="I13" s="15" t="s">
        <v>95</v>
      </c>
      <c r="J13" s="15"/>
      <c r="K13" s="52" t="s">
        <v>192</v>
      </c>
    </row>
    <row r="14" spans="1:12" s="3" customFormat="1" ht="84.95" customHeight="1">
      <c r="A14" s="15" t="s">
        <v>100</v>
      </c>
      <c r="B14" s="15" t="s">
        <v>101</v>
      </c>
      <c r="C14" s="15" t="s">
        <v>11</v>
      </c>
      <c r="D14" s="16">
        <v>8</v>
      </c>
      <c r="E14" s="17">
        <v>2568</v>
      </c>
      <c r="F14" s="18" t="s">
        <v>102</v>
      </c>
      <c r="G14" s="21" t="s">
        <v>169</v>
      </c>
      <c r="H14" s="20"/>
      <c r="I14" s="15" t="s">
        <v>24</v>
      </c>
      <c r="J14" s="15"/>
      <c r="K14" s="52" t="s">
        <v>192</v>
      </c>
    </row>
    <row r="15" spans="1:12" s="3" customFormat="1" ht="84.95" customHeight="1">
      <c r="A15" s="15" t="s">
        <v>103</v>
      </c>
      <c r="B15" s="15" t="s">
        <v>40</v>
      </c>
      <c r="C15" s="15" t="s">
        <v>41</v>
      </c>
      <c r="D15" s="16">
        <v>5</v>
      </c>
      <c r="E15" s="17" t="s">
        <v>181</v>
      </c>
      <c r="F15" s="18" t="s">
        <v>190</v>
      </c>
      <c r="G15" s="19" t="s">
        <v>162</v>
      </c>
      <c r="H15" s="20"/>
      <c r="I15" s="15" t="s">
        <v>35</v>
      </c>
      <c r="J15" s="15" t="s">
        <v>197</v>
      </c>
      <c r="K15" s="15"/>
    </row>
    <row r="16" spans="1:12" s="3" customFormat="1" ht="84.95" customHeight="1">
      <c r="A16" s="15" t="s">
        <v>104</v>
      </c>
      <c r="B16" s="15" t="s">
        <v>44</v>
      </c>
      <c r="C16" s="15" t="s">
        <v>45</v>
      </c>
      <c r="D16" s="16">
        <v>5</v>
      </c>
      <c r="E16" s="17">
        <v>2580</v>
      </c>
      <c r="F16" s="18" t="s">
        <v>189</v>
      </c>
      <c r="G16" s="19" t="s">
        <v>188</v>
      </c>
      <c r="H16" s="20" t="s">
        <v>180</v>
      </c>
      <c r="I16" s="15" t="s">
        <v>92</v>
      </c>
      <c r="J16" s="15" t="s">
        <v>198</v>
      </c>
      <c r="K16" s="15"/>
    </row>
    <row r="17" spans="1:11" s="3" customFormat="1" ht="84.95" customHeight="1">
      <c r="A17" s="15" t="s">
        <v>113</v>
      </c>
      <c r="B17" s="15" t="s">
        <v>10</v>
      </c>
      <c r="C17" s="15" t="s">
        <v>14</v>
      </c>
      <c r="D17" s="16">
        <v>5</v>
      </c>
      <c r="E17" s="17" t="s">
        <v>114</v>
      </c>
      <c r="F17" s="18" t="s">
        <v>115</v>
      </c>
      <c r="G17" s="19" t="s">
        <v>116</v>
      </c>
      <c r="H17" s="20" t="s">
        <v>28</v>
      </c>
      <c r="I17" s="15" t="s">
        <v>112</v>
      </c>
      <c r="J17" s="15"/>
      <c r="K17" s="15"/>
    </row>
    <row r="18" spans="1:11" s="3" customFormat="1" ht="84.95" customHeight="1">
      <c r="A18" s="15" t="s">
        <v>120</v>
      </c>
      <c r="B18" s="15" t="s">
        <v>10</v>
      </c>
      <c r="C18" s="15" t="s">
        <v>11</v>
      </c>
      <c r="D18" s="16">
        <v>5</v>
      </c>
      <c r="E18" s="17" t="s">
        <v>186</v>
      </c>
      <c r="F18" s="18" t="s">
        <v>121</v>
      </c>
      <c r="G18" s="19" t="s">
        <v>122</v>
      </c>
      <c r="H18" s="20"/>
      <c r="I18" s="15" t="s">
        <v>46</v>
      </c>
      <c r="J18" s="15"/>
      <c r="K18" s="15"/>
    </row>
    <row r="19" spans="1:11" s="3" customFormat="1" ht="84.95" customHeight="1">
      <c r="A19" s="15" t="s">
        <v>123</v>
      </c>
      <c r="B19" s="15" t="s">
        <v>40</v>
      </c>
      <c r="C19" s="15" t="s">
        <v>41</v>
      </c>
      <c r="D19" s="16">
        <v>6</v>
      </c>
      <c r="E19" s="17" t="s">
        <v>186</v>
      </c>
      <c r="F19" s="18" t="s">
        <v>124</v>
      </c>
      <c r="G19" s="19" t="s">
        <v>125</v>
      </c>
      <c r="H19" s="20"/>
      <c r="I19" s="15" t="s">
        <v>112</v>
      </c>
      <c r="J19" s="15"/>
      <c r="K19" s="15"/>
    </row>
    <row r="20" spans="1:11" s="3" customFormat="1" ht="84.95" customHeight="1">
      <c r="A20" s="15" t="s">
        <v>126</v>
      </c>
      <c r="B20" s="53" t="s">
        <v>127</v>
      </c>
      <c r="C20" s="15" t="s">
        <v>28</v>
      </c>
      <c r="D20" s="16">
        <v>5</v>
      </c>
      <c r="E20" s="17">
        <v>6530</v>
      </c>
      <c r="F20" s="18" t="s">
        <v>128</v>
      </c>
      <c r="G20" s="19" t="s">
        <v>129</v>
      </c>
      <c r="H20" s="20"/>
      <c r="I20" s="15" t="s">
        <v>106</v>
      </c>
      <c r="J20" s="15"/>
      <c r="K20" s="15">
        <v>369</v>
      </c>
    </row>
    <row r="21" spans="1:11" s="3" customFormat="1" ht="84.95" customHeight="1">
      <c r="A21" s="15" t="s">
        <v>130</v>
      </c>
      <c r="B21" s="15" t="s">
        <v>40</v>
      </c>
      <c r="C21" s="15" t="s">
        <v>28</v>
      </c>
      <c r="D21" s="16">
        <v>5</v>
      </c>
      <c r="E21" s="17">
        <v>6530</v>
      </c>
      <c r="F21" s="18" t="s">
        <v>131</v>
      </c>
      <c r="G21" s="19" t="s">
        <v>132</v>
      </c>
      <c r="H21" s="20"/>
      <c r="I21" s="15" t="s">
        <v>106</v>
      </c>
      <c r="J21" s="15"/>
      <c r="K21" s="52" t="s">
        <v>192</v>
      </c>
    </row>
    <row r="22" spans="1:11" s="3" customFormat="1" ht="84.95" customHeight="1">
      <c r="A22" s="15" t="s">
        <v>143</v>
      </c>
      <c r="B22" s="15" t="s">
        <v>40</v>
      </c>
      <c r="C22" s="15" t="s">
        <v>11</v>
      </c>
      <c r="D22" s="16">
        <v>5</v>
      </c>
      <c r="E22" s="17" t="s">
        <v>177</v>
      </c>
      <c r="F22" s="18" t="s">
        <v>184</v>
      </c>
      <c r="G22" s="19" t="s">
        <v>144</v>
      </c>
      <c r="H22" s="20" t="s">
        <v>176</v>
      </c>
      <c r="I22" s="15"/>
      <c r="J22" s="15" t="s">
        <v>196</v>
      </c>
      <c r="K22" s="52" t="s">
        <v>192</v>
      </c>
    </row>
    <row r="23" spans="1:11" s="3" customFormat="1" ht="84.95" customHeight="1">
      <c r="A23" s="15" t="s">
        <v>145</v>
      </c>
      <c r="B23" s="15" t="s">
        <v>40</v>
      </c>
      <c r="C23" s="15" t="s">
        <v>41</v>
      </c>
      <c r="D23" s="16">
        <v>6</v>
      </c>
      <c r="E23" s="17" t="s">
        <v>146</v>
      </c>
      <c r="F23" s="18" t="s">
        <v>147</v>
      </c>
      <c r="G23" s="19" t="s">
        <v>166</v>
      </c>
      <c r="H23" s="20"/>
      <c r="I23" s="15" t="s">
        <v>35</v>
      </c>
      <c r="J23" s="15"/>
      <c r="K23" s="52" t="s">
        <v>192</v>
      </c>
    </row>
    <row r="24" spans="1:11" s="3" customFormat="1" ht="84.95" customHeight="1">
      <c r="A24" s="15" t="s">
        <v>148</v>
      </c>
      <c r="B24" s="15" t="s">
        <v>40</v>
      </c>
      <c r="C24" s="15" t="s">
        <v>28</v>
      </c>
      <c r="D24" s="16">
        <v>8</v>
      </c>
      <c r="E24" s="17">
        <v>7321</v>
      </c>
      <c r="F24" s="18" t="s">
        <v>149</v>
      </c>
      <c r="G24" s="19" t="s">
        <v>167</v>
      </c>
      <c r="H24" s="20"/>
      <c r="I24" s="15" t="s">
        <v>95</v>
      </c>
      <c r="J24" s="15"/>
      <c r="K24" s="52"/>
    </row>
    <row r="25" spans="1:11" s="3" customFormat="1" ht="84.95" customHeight="1">
      <c r="A25" s="15" t="s">
        <v>150</v>
      </c>
      <c r="B25" s="15" t="s">
        <v>40</v>
      </c>
      <c r="C25" s="15" t="s">
        <v>41</v>
      </c>
      <c r="D25" s="16">
        <v>5</v>
      </c>
      <c r="E25" s="17">
        <v>2018</v>
      </c>
      <c r="F25" s="18" t="s">
        <v>151</v>
      </c>
      <c r="G25" s="19" t="s">
        <v>152</v>
      </c>
      <c r="H25" s="20"/>
      <c r="I25" s="15" t="s">
        <v>92</v>
      </c>
      <c r="J25" s="15"/>
      <c r="K25" s="52" t="s">
        <v>192</v>
      </c>
    </row>
    <row r="26" spans="1:11" s="3" customFormat="1" ht="50.25" customHeight="1">
      <c r="A26" s="34"/>
      <c r="B26" s="34"/>
      <c r="C26" s="34"/>
      <c r="D26" s="35"/>
      <c r="E26" s="36"/>
      <c r="F26" s="37"/>
      <c r="G26" s="38"/>
      <c r="H26" s="39"/>
      <c r="I26" s="34"/>
      <c r="J26" s="34"/>
      <c r="K26" s="34"/>
    </row>
    <row r="27" spans="1:11" s="33" customFormat="1" ht="55.5" customHeight="1">
      <c r="A27" s="30">
        <f>COUNTA(A3:A26)+1</f>
        <v>24</v>
      </c>
      <c r="B27" s="31"/>
      <c r="C27" s="24"/>
      <c r="D27" s="55">
        <f>SUM(D3:D26)</f>
        <v>120</v>
      </c>
      <c r="E27" s="55"/>
      <c r="F27" s="44">
        <f ca="1">TODAY()</f>
        <v>45971</v>
      </c>
      <c r="G27" s="56" t="s">
        <v>8</v>
      </c>
      <c r="H27" s="56"/>
      <c r="I27" s="56"/>
      <c r="J27" s="51"/>
      <c r="K27" s="51"/>
    </row>
    <row r="28" spans="1:11" ht="92.25" customHeight="1">
      <c r="A28" s="30"/>
    </row>
  </sheetData>
  <autoFilter ref="A2:G23" xr:uid="{00000000-0009-0000-0000-000000000000}"/>
  <mergeCells count="2">
    <mergeCell ref="D27:E27"/>
    <mergeCell ref="G27:I27"/>
  </mergeCells>
  <phoneticPr fontId="1" type="noConversion"/>
  <conditionalFormatting sqref="A3:K26">
    <cfRule type="expression" dxfId="3" priority="3">
      <formula>MOD(ROW(),2)</formula>
    </cfRule>
  </conditionalFormatting>
  <hyperlinks>
    <hyperlink ref="L3" r:id="rId1" xr:uid="{9625C0D1-C239-45D3-9037-8BB3A0787A14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1" fitToHeight="0" orientation="portrait" blackAndWhite="1" r:id="rId2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6864-CB64-402F-A346-EC72E4CE1FFB}">
  <dimension ref="A1:K21"/>
  <sheetViews>
    <sheetView topLeftCell="A11" zoomScale="41" zoomScaleNormal="41" workbookViewId="0">
      <selection activeCell="A18" sqref="A18:XFD18"/>
    </sheetView>
  </sheetViews>
  <sheetFormatPr defaultColWidth="9.140625" defaultRowHeight="34.5"/>
  <cols>
    <col min="1" max="1" width="16" style="23" customWidth="1"/>
    <col min="2" max="2" width="12.28515625" style="23" bestFit="1" customWidth="1"/>
    <col min="3" max="3" width="8.7109375" style="24" bestFit="1" customWidth="1"/>
    <col min="4" max="4" width="12.7109375" style="25" customWidth="1"/>
    <col min="5" max="5" width="19.85546875" style="26" customWidth="1"/>
    <col min="6" max="6" width="127.140625" style="27" customWidth="1"/>
    <col min="7" max="7" width="91.140625" style="28" customWidth="1"/>
    <col min="8" max="8" width="22" style="29" bestFit="1" customWidth="1"/>
    <col min="9" max="9" width="11" style="23" customWidth="1"/>
    <col min="10" max="10" width="32.85546875" style="49" customWidth="1"/>
    <col min="11" max="11" width="31.42578125" style="1" customWidth="1"/>
    <col min="12" max="16384" width="9.140625" style="1"/>
  </cols>
  <sheetData>
    <row r="1" spans="1:11" s="2" customFormat="1" ht="92.25" customHeight="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/>
      <c r="H1" s="5" t="s">
        <v>6</v>
      </c>
      <c r="I1" s="5" t="s">
        <v>7</v>
      </c>
      <c r="J1" s="47" t="s">
        <v>191</v>
      </c>
    </row>
    <row r="2" spans="1:11" s="3" customFormat="1" ht="92.25" customHeight="1">
      <c r="A2" s="15" t="s">
        <v>107</v>
      </c>
      <c r="B2" s="15" t="s">
        <v>86</v>
      </c>
      <c r="C2" s="15" t="s">
        <v>11</v>
      </c>
      <c r="D2" s="16">
        <v>4</v>
      </c>
      <c r="E2" s="17" t="s">
        <v>108</v>
      </c>
      <c r="F2" s="18" t="s">
        <v>109</v>
      </c>
      <c r="G2" s="19" t="s">
        <v>110</v>
      </c>
      <c r="H2" s="20" t="s">
        <v>105</v>
      </c>
      <c r="I2" s="15" t="s">
        <v>111</v>
      </c>
      <c r="J2" s="48"/>
    </row>
    <row r="3" spans="1:11" s="3" customFormat="1" ht="92.25" customHeight="1">
      <c r="A3" s="15" t="s">
        <v>66</v>
      </c>
      <c r="B3" s="15" t="s">
        <v>40</v>
      </c>
      <c r="C3" s="15" t="s">
        <v>41</v>
      </c>
      <c r="D3" s="16">
        <f>VLOOKUP(A3,[1]Sheet3!A:F,4,FALSE)</f>
        <v>4</v>
      </c>
      <c r="E3" s="17" t="s">
        <v>63</v>
      </c>
      <c r="F3" s="18" t="s">
        <v>67</v>
      </c>
      <c r="G3" s="19" t="s">
        <v>68</v>
      </c>
      <c r="H3" s="20"/>
      <c r="I3" s="15" t="s">
        <v>65</v>
      </c>
      <c r="J3" s="48"/>
    </row>
    <row r="4" spans="1:11" s="3" customFormat="1" ht="92.25" customHeight="1">
      <c r="A4" s="15" t="s">
        <v>179</v>
      </c>
      <c r="B4" s="15" t="s">
        <v>40</v>
      </c>
      <c r="C4" s="15" t="s">
        <v>41</v>
      </c>
      <c r="D4" s="16">
        <f>VLOOKUP(A4,[1]Sheet3!A:F,4,FALSE)</f>
        <v>4</v>
      </c>
      <c r="E4" s="17" t="s">
        <v>63</v>
      </c>
      <c r="F4" s="18" t="s">
        <v>64</v>
      </c>
      <c r="G4" s="19" t="s">
        <v>178</v>
      </c>
      <c r="H4" s="20"/>
      <c r="I4" s="15" t="s">
        <v>65</v>
      </c>
      <c r="J4" s="48">
        <v>44054</v>
      </c>
    </row>
    <row r="5" spans="1:11" s="3" customFormat="1" ht="92.25" customHeight="1">
      <c r="A5" s="15" t="s">
        <v>140</v>
      </c>
      <c r="B5" s="15" t="s">
        <v>40</v>
      </c>
      <c r="C5" s="15" t="s">
        <v>41</v>
      </c>
      <c r="D5" s="16">
        <f>VLOOKUP(A5,[1]Sheet3!A:F,4,FALSE)</f>
        <v>4</v>
      </c>
      <c r="E5" s="17"/>
      <c r="F5" s="18" t="s">
        <v>141</v>
      </c>
      <c r="G5" s="19" t="s">
        <v>165</v>
      </c>
      <c r="H5" s="20" t="s">
        <v>175</v>
      </c>
      <c r="I5" s="15" t="s">
        <v>142</v>
      </c>
      <c r="J5" s="48"/>
    </row>
    <row r="6" spans="1:11" s="3" customFormat="1" ht="92.25" customHeight="1">
      <c r="A6" s="15" t="s">
        <v>13</v>
      </c>
      <c r="B6" s="15" t="s">
        <v>10</v>
      </c>
      <c r="C6" s="15" t="s">
        <v>14</v>
      </c>
      <c r="D6" s="16">
        <f>VLOOKUP(A6,[1]Sheet3!A:F,4,FALSE)</f>
        <v>6</v>
      </c>
      <c r="E6" s="17" t="s">
        <v>15</v>
      </c>
      <c r="F6" s="18" t="s">
        <v>16</v>
      </c>
      <c r="G6" s="19" t="s">
        <v>153</v>
      </c>
      <c r="H6" s="20" t="s">
        <v>170</v>
      </c>
      <c r="I6" s="15" t="s">
        <v>12</v>
      </c>
      <c r="J6" s="48">
        <v>44112</v>
      </c>
    </row>
    <row r="7" spans="1:11" s="3" customFormat="1" ht="92.25" customHeight="1">
      <c r="A7" s="15" t="s">
        <v>135</v>
      </c>
      <c r="B7" s="15" t="s">
        <v>40</v>
      </c>
      <c r="C7" s="15" t="s">
        <v>28</v>
      </c>
      <c r="D7" s="16">
        <v>5</v>
      </c>
      <c r="E7" s="17"/>
      <c r="F7" s="18" t="s">
        <v>136</v>
      </c>
      <c r="G7" s="19" t="s">
        <v>137</v>
      </c>
      <c r="H7" s="20" t="s">
        <v>174</v>
      </c>
      <c r="I7" s="15" t="s">
        <v>25</v>
      </c>
      <c r="J7" s="48"/>
    </row>
    <row r="8" spans="1:11" s="3" customFormat="1" ht="92.25" customHeight="1">
      <c r="A8" s="15" t="s">
        <v>57</v>
      </c>
      <c r="B8" s="15" t="s">
        <v>10</v>
      </c>
      <c r="C8" s="15" t="s">
        <v>14</v>
      </c>
      <c r="D8" s="16">
        <v>4</v>
      </c>
      <c r="E8" s="17" t="s">
        <v>58</v>
      </c>
      <c r="F8" s="18" t="s">
        <v>59</v>
      </c>
      <c r="G8" s="19" t="s">
        <v>183</v>
      </c>
      <c r="H8" s="20" t="s">
        <v>28</v>
      </c>
      <c r="I8" s="15"/>
      <c r="J8" s="48"/>
    </row>
    <row r="9" spans="1:11" s="3" customFormat="1" ht="92.25" customHeight="1">
      <c r="A9" s="15" t="s">
        <v>60</v>
      </c>
      <c r="B9" s="15" t="s">
        <v>10</v>
      </c>
      <c r="C9" s="15" t="s">
        <v>14</v>
      </c>
      <c r="D9" s="16">
        <v>3</v>
      </c>
      <c r="E9" s="17" t="s">
        <v>61</v>
      </c>
      <c r="F9" s="18" t="s">
        <v>62</v>
      </c>
      <c r="G9" s="19" t="s">
        <v>157</v>
      </c>
      <c r="H9" s="20" t="s">
        <v>28</v>
      </c>
      <c r="I9" s="15"/>
      <c r="J9" s="48">
        <v>44333</v>
      </c>
    </row>
    <row r="10" spans="1:11" s="3" customFormat="1" ht="92.25" customHeight="1">
      <c r="A10" s="15" t="s">
        <v>133</v>
      </c>
      <c r="B10" s="15" t="s">
        <v>40</v>
      </c>
      <c r="C10" s="15" t="s">
        <v>97</v>
      </c>
      <c r="D10" s="16">
        <v>5</v>
      </c>
      <c r="E10" s="17" t="s">
        <v>9</v>
      </c>
      <c r="F10" s="18" t="s">
        <v>134</v>
      </c>
      <c r="G10" s="19" t="s">
        <v>163</v>
      </c>
      <c r="H10" s="20" t="s">
        <v>174</v>
      </c>
      <c r="I10" s="15" t="s">
        <v>24</v>
      </c>
      <c r="J10" s="48">
        <v>44453</v>
      </c>
    </row>
    <row r="11" spans="1:11" s="3" customFormat="1" ht="84.95" customHeight="1">
      <c r="A11" s="15" t="s">
        <v>89</v>
      </c>
      <c r="B11" s="15" t="s">
        <v>10</v>
      </c>
      <c r="C11" s="15" t="s">
        <v>11</v>
      </c>
      <c r="D11" s="16">
        <v>5</v>
      </c>
      <c r="E11" s="17"/>
      <c r="F11" s="18" t="s">
        <v>90</v>
      </c>
      <c r="G11" s="19" t="s">
        <v>160</v>
      </c>
      <c r="H11" s="20" t="s">
        <v>91</v>
      </c>
      <c r="I11" s="15" t="s">
        <v>92</v>
      </c>
      <c r="J11" s="48">
        <v>44511</v>
      </c>
    </row>
    <row r="12" spans="1:11" s="3" customFormat="1" ht="84.95" customHeight="1">
      <c r="A12" s="15" t="s">
        <v>79</v>
      </c>
      <c r="B12" s="15" t="s">
        <v>76</v>
      </c>
      <c r="C12" s="15" t="s">
        <v>80</v>
      </c>
      <c r="D12" s="16">
        <v>5</v>
      </c>
      <c r="E12" s="17" t="s">
        <v>81</v>
      </c>
      <c r="F12" s="18" t="s">
        <v>82</v>
      </c>
      <c r="G12" s="19" t="s">
        <v>83</v>
      </c>
      <c r="H12" s="20"/>
      <c r="I12" s="15" t="s">
        <v>84</v>
      </c>
      <c r="J12" s="48">
        <v>44543</v>
      </c>
    </row>
    <row r="13" spans="1:11" s="4" customFormat="1" ht="84.95" customHeight="1">
      <c r="A13" s="15" t="s">
        <v>96</v>
      </c>
      <c r="B13" s="15" t="s">
        <v>40</v>
      </c>
      <c r="C13" s="15" t="s">
        <v>97</v>
      </c>
      <c r="D13" s="16">
        <v>4</v>
      </c>
      <c r="E13" s="17" t="s">
        <v>9</v>
      </c>
      <c r="F13" s="18" t="s">
        <v>98</v>
      </c>
      <c r="G13" s="19" t="s">
        <v>161</v>
      </c>
      <c r="H13" s="20" t="s">
        <v>99</v>
      </c>
      <c r="I13" s="15" t="s">
        <v>24</v>
      </c>
      <c r="J13" s="48">
        <v>44569</v>
      </c>
    </row>
    <row r="14" spans="1:11" s="3" customFormat="1" ht="84.95" customHeight="1">
      <c r="A14" s="15" t="s">
        <v>54</v>
      </c>
      <c r="B14" s="15" t="s">
        <v>40</v>
      </c>
      <c r="C14" s="15" t="s">
        <v>28</v>
      </c>
      <c r="D14" s="16">
        <v>8</v>
      </c>
      <c r="E14" s="17" t="s">
        <v>9</v>
      </c>
      <c r="F14" s="18" t="s">
        <v>55</v>
      </c>
      <c r="G14" s="19" t="s">
        <v>56</v>
      </c>
      <c r="H14" s="20" t="s">
        <v>28</v>
      </c>
      <c r="I14" s="15"/>
      <c r="J14" s="48">
        <v>44576</v>
      </c>
    </row>
    <row r="15" spans="1:11" s="3" customFormat="1" ht="84.95" customHeight="1">
      <c r="A15" s="15" t="s">
        <v>138</v>
      </c>
      <c r="B15" s="15" t="s">
        <v>40</v>
      </c>
      <c r="C15" s="15" t="s">
        <v>41</v>
      </c>
      <c r="D15" s="16">
        <v>5</v>
      </c>
      <c r="E15" s="17" t="s">
        <v>187</v>
      </c>
      <c r="F15" s="22" t="s">
        <v>139</v>
      </c>
      <c r="G15" s="19" t="s">
        <v>164</v>
      </c>
      <c r="H15" s="20"/>
      <c r="I15" s="15" t="s">
        <v>112</v>
      </c>
      <c r="J15" s="15"/>
      <c r="K15" s="48"/>
    </row>
    <row r="16" spans="1:11" s="3" customFormat="1" ht="84.95" customHeight="1">
      <c r="A16" s="15" t="s">
        <v>26</v>
      </c>
      <c r="B16" s="15" t="s">
        <v>27</v>
      </c>
      <c r="C16" s="15" t="s">
        <v>28</v>
      </c>
      <c r="D16" s="16">
        <v>3</v>
      </c>
      <c r="E16" s="17" t="s">
        <v>186</v>
      </c>
      <c r="F16" s="18" t="s">
        <v>29</v>
      </c>
      <c r="G16" s="19" t="s">
        <v>30</v>
      </c>
      <c r="H16" s="20" t="s">
        <v>172</v>
      </c>
      <c r="I16" s="15" t="s">
        <v>18</v>
      </c>
      <c r="J16" s="15"/>
      <c r="K16" s="48">
        <v>44613</v>
      </c>
    </row>
    <row r="17" spans="1:11" s="3" customFormat="1" ht="84.95" customHeight="1">
      <c r="A17" s="15" t="s">
        <v>36</v>
      </c>
      <c r="B17" s="15" t="s">
        <v>10</v>
      </c>
      <c r="C17" s="15" t="s">
        <v>11</v>
      </c>
      <c r="D17" s="16">
        <v>6</v>
      </c>
      <c r="E17" s="17">
        <v>2318</v>
      </c>
      <c r="F17" s="18" t="s">
        <v>37</v>
      </c>
      <c r="G17" s="19" t="s">
        <v>38</v>
      </c>
      <c r="H17" s="20"/>
      <c r="I17" s="15" t="s">
        <v>24</v>
      </c>
      <c r="J17" s="15"/>
      <c r="K17" s="15"/>
    </row>
    <row r="18" spans="1:11" s="3" customFormat="1" ht="84.95" customHeight="1">
      <c r="A18" s="15" t="s">
        <v>117</v>
      </c>
      <c r="B18" s="15" t="s">
        <v>10</v>
      </c>
      <c r="C18" s="15" t="s">
        <v>11</v>
      </c>
      <c r="D18" s="16">
        <v>4</v>
      </c>
      <c r="E18" s="17" t="s">
        <v>58</v>
      </c>
      <c r="F18" s="18" t="s">
        <v>118</v>
      </c>
      <c r="G18" s="19" t="s">
        <v>119</v>
      </c>
      <c r="H18" s="20" t="s">
        <v>28</v>
      </c>
      <c r="I18" s="15" t="s">
        <v>112</v>
      </c>
      <c r="J18" s="15"/>
      <c r="K18" s="15"/>
    </row>
    <row r="19" spans="1:11" s="3" customFormat="1" ht="84.95" customHeight="1">
      <c r="A19" s="15" t="s">
        <v>69</v>
      </c>
      <c r="B19" s="15" t="s">
        <v>10</v>
      </c>
      <c r="C19" s="15" t="s">
        <v>14</v>
      </c>
      <c r="D19" s="16">
        <v>5</v>
      </c>
      <c r="E19" s="17"/>
      <c r="F19" s="18" t="s">
        <v>70</v>
      </c>
      <c r="G19" s="19" t="s">
        <v>71</v>
      </c>
      <c r="H19" s="20"/>
      <c r="I19" s="15" t="s">
        <v>65</v>
      </c>
      <c r="J19" s="15"/>
      <c r="K19" s="48">
        <v>45163</v>
      </c>
    </row>
    <row r="21" spans="1:11" s="33" customFormat="1" ht="92.25" customHeight="1">
      <c r="A21" s="30">
        <f>COUNTA(A2:A20)</f>
        <v>18</v>
      </c>
      <c r="B21" s="31"/>
      <c r="C21" s="24"/>
      <c r="D21" s="42">
        <f>SUM(D2:D20)</f>
        <v>84</v>
      </c>
      <c r="E21" s="40"/>
      <c r="F21" s="32"/>
      <c r="G21" s="41"/>
      <c r="H21" s="41"/>
      <c r="I21" s="41"/>
      <c r="J21" s="50"/>
    </row>
  </sheetData>
  <phoneticPr fontId="1" type="noConversion"/>
  <conditionalFormatting sqref="A2:J17">
    <cfRule type="expression" dxfId="2" priority="4">
      <formula>MOD(ROW(),2)</formula>
    </cfRule>
  </conditionalFormatting>
  <conditionalFormatting sqref="A18:K19">
    <cfRule type="expression" dxfId="1" priority="1">
      <formula>MOD(ROW(),2)</formula>
    </cfRule>
  </conditionalFormatting>
  <conditionalFormatting sqref="K15:K17">
    <cfRule type="expression" dxfId="0" priority="3">
      <formula>MOD(ROW(),2)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Sheet1!_FilterDatabase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r30</dc:creator>
  <cp:lastModifiedBy>Office 365</cp:lastModifiedBy>
  <cp:lastPrinted>2023-09-20T15:37:00Z</cp:lastPrinted>
  <dcterms:created xsi:type="dcterms:W3CDTF">2019-04-08T04:36:39Z</dcterms:created>
  <dcterms:modified xsi:type="dcterms:W3CDTF">2025-11-09T16:15:26Z</dcterms:modified>
</cp:coreProperties>
</file>